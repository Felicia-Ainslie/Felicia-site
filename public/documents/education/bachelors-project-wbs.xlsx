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userNames.xml" ContentType="application/vnd.openxmlformats-officedocument.spreadsheetml.userName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2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elic\Downloads\Felicia Ainslie - Student Portfolio 2021\Felicia Ainslie - Student Portfolio 2021\Bachelors Capstone\"/>
    </mc:Choice>
  </mc:AlternateContent>
  <xr:revisionPtr revIDLastSave="0" documentId="8_{23E4615A-797C-4666-80E6-BCEF5F2A4DE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WBS" sheetId="1" r:id="rId1"/>
  </sheets>
  <calcPr calcId="191029"/>
  <customWorkbookViews>
    <customWorkbookView name="felicia ainslie - Personal View" guid="{2173BB5D-F883-4E75-8561-D8B9C8A34FCB}" mergeInterval="0" personalView="1" maximized="1" xWindow="-8" yWindow="-8" windowWidth="1382" windowHeight="744" activeSheetId="1"/>
    <customWorkbookView name="AsStussy - Personal View" guid="{9061009B-7D0F-4C52-B35F-2B175275DB81}" mergeInterval="0" personalView="1" maximized="1" windowWidth="1362" windowHeight="543" activeSheetId="1" showComments="commIndAndComment"/>
    <customWorkbookView name="Rob - Personal View" guid="{1D05BCE1-4857-47D7-A1F0-671731AF7496}" mergeInterval="0" personalView="1" maximized="1" xWindow="1" yWindow="1" windowWidth="1274" windowHeight="534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4" i="1" l="1"/>
  <c r="I53" i="1"/>
  <c r="I52" i="1"/>
  <c r="I51" i="1"/>
  <c r="I50" i="1"/>
  <c r="I49" i="1"/>
  <c r="I48" i="1"/>
  <c r="I47" i="1"/>
  <c r="I46" i="1"/>
  <c r="I45" i="1"/>
  <c r="I43" i="1"/>
  <c r="I42" i="1"/>
  <c r="I41" i="1"/>
  <c r="I31" i="1"/>
  <c r="I32" i="1"/>
  <c r="I33" i="1"/>
  <c r="I65" i="1" l="1"/>
  <c r="I69" i="1"/>
  <c r="I61" i="1"/>
  <c r="I60" i="1"/>
  <c r="I44" i="1"/>
  <c r="I40" i="1"/>
  <c r="I39" i="1"/>
  <c r="I38" i="1"/>
  <c r="I37" i="1"/>
  <c r="I36" i="1"/>
  <c r="I35" i="1"/>
  <c r="I34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<sst xmlns="http://schemas.openxmlformats.org/spreadsheetml/2006/main" count="578" uniqueCount="292">
  <si>
    <t>WBS Number</t>
  </si>
  <si>
    <t>1</t>
  </si>
  <si>
    <t>2</t>
  </si>
  <si>
    <t>3</t>
  </si>
  <si>
    <t>Task Name</t>
  </si>
  <si>
    <t>Task Duration
(in days)</t>
  </si>
  <si>
    <t>WBS Description</t>
  </si>
  <si>
    <t>Must Start by Date</t>
  </si>
  <si>
    <t>Must End by Date</t>
  </si>
  <si>
    <t>Predecessor
(Finish-to-Start Dependency)
(comma separated)</t>
  </si>
  <si>
    <t>Resource Name(s)</t>
  </si>
  <si>
    <r>
      <rPr>
        <b/>
        <sz val="10"/>
        <color theme="0"/>
        <rFont val="Arial"/>
        <family val="2"/>
      </rPr>
      <t>Task Level of Effort</t>
    </r>
    <r>
      <rPr>
        <b/>
        <i/>
        <sz val="10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(in hours)</t>
    </r>
  </si>
  <si>
    <t>Author
(of item for follow-up questions)</t>
  </si>
  <si>
    <t>Install Computers</t>
  </si>
  <si>
    <t>Install Software</t>
  </si>
  <si>
    <t>Install Network Hardware</t>
  </si>
  <si>
    <t>4</t>
  </si>
  <si>
    <t>Test</t>
  </si>
  <si>
    <t>5</t>
  </si>
  <si>
    <t>Launch</t>
  </si>
  <si>
    <t xml:space="preserve">All 500 computers will need to be installed in their respective places. </t>
  </si>
  <si>
    <t>Software relating to company needs will need to be installed. This will include but not be limited to the customer relations management system and security program(s).</t>
  </si>
  <si>
    <t xml:space="preserve">The hardware necessary to communicate both internally and externally on the network will need to be installed. </t>
  </si>
  <si>
    <t xml:space="preserve">Thorough testing needs to be completed to ensure devices, software, and network equipment are functioning appropriately. </t>
  </si>
  <si>
    <t xml:space="preserve">The project needs to be finalized and the network fully available to all employees at the new Future Tech Inc. location. </t>
  </si>
  <si>
    <t xml:space="preserve"> 1.1</t>
  </si>
  <si>
    <t xml:space="preserve"> 1.2</t>
  </si>
  <si>
    <t>1.3</t>
  </si>
  <si>
    <t>Place desktop monitors in their respective places along with the appropriate cabling.</t>
  </si>
  <si>
    <t xml:space="preserve">Place desktop towers in their respective places along with the appropriate cabling &amp; power strips. </t>
  </si>
  <si>
    <t>Place desktop monitors in their respective places along with the appropriate cabling &amp; power strips.</t>
  </si>
  <si>
    <t xml:space="preserve"> 2.2</t>
  </si>
  <si>
    <t>Complete thorough research regarding software options and pricing.</t>
  </si>
  <si>
    <t>Sign contracts and purchase software for all Future Tech Inc. devices.</t>
  </si>
  <si>
    <t xml:space="preserve"> Install all desktop monitors</t>
  </si>
  <si>
    <t xml:space="preserve"> Install all desktop towers</t>
  </si>
  <si>
    <t xml:space="preserve"> Install all laptops</t>
  </si>
  <si>
    <t xml:space="preserve"> Research software options</t>
  </si>
  <si>
    <t xml:space="preserve"> Purchase Software</t>
  </si>
  <si>
    <t xml:space="preserve"> 2.1</t>
  </si>
  <si>
    <t>Felicia Ainslie</t>
  </si>
  <si>
    <t>Betsy Knowit</t>
  </si>
  <si>
    <t>Joe Shmoe</t>
  </si>
  <si>
    <t>Les Dooit</t>
  </si>
  <si>
    <t>1, 2, 3, 4</t>
  </si>
  <si>
    <t xml:space="preserve">  1.2.1</t>
  </si>
  <si>
    <t xml:space="preserve">   Connect devices to power supply</t>
  </si>
  <si>
    <t xml:space="preserve">Plug monitors and towers into power strips. Plug power strips into the wall. Use clips if necessary to gather cords. </t>
  </si>
  <si>
    <t xml:space="preserve">  1.2.2</t>
  </si>
  <si>
    <t xml:space="preserve">  Connect devices to eachother</t>
  </si>
  <si>
    <t xml:space="preserve">  1.2.3</t>
  </si>
  <si>
    <t xml:space="preserve"> Plug monitors into towers.Use clips if necessary to gather cords.</t>
  </si>
  <si>
    <t xml:space="preserve">Ensure that devices power on correctly. </t>
  </si>
  <si>
    <t xml:space="preserve">  1.3.1</t>
  </si>
  <si>
    <t xml:space="preserve">Plug laptops into power strips. Plug power strips into the wall. Use clips if necessary to gather cords. </t>
  </si>
  <si>
    <t xml:space="preserve">  Test devices</t>
  </si>
  <si>
    <t xml:space="preserve">   1.2.4</t>
  </si>
  <si>
    <t xml:space="preserve">  Connect devices to power supply</t>
  </si>
  <si>
    <t xml:space="preserve">  Test login credentials</t>
  </si>
  <si>
    <t xml:space="preserve">Ensure that login credentials for the respective devices work. </t>
  </si>
  <si>
    <t xml:space="preserve">  1.3.2</t>
  </si>
  <si>
    <t xml:space="preserve">  1.3.3</t>
  </si>
  <si>
    <t>1.1, 1.2</t>
  </si>
  <si>
    <t>1.2.1, 1.2.2</t>
  </si>
  <si>
    <t>1.3.1</t>
  </si>
  <si>
    <t xml:space="preserve"> 3.1</t>
  </si>
  <si>
    <t xml:space="preserve"> 3.2</t>
  </si>
  <si>
    <t xml:space="preserve"> 3.3</t>
  </si>
  <si>
    <t xml:space="preserve"> 3.4</t>
  </si>
  <si>
    <t xml:space="preserve"> 3.5</t>
  </si>
  <si>
    <t xml:space="preserve"> Install cabling</t>
  </si>
  <si>
    <t xml:space="preserve"> Install switches</t>
  </si>
  <si>
    <t xml:space="preserve"> Install all access points </t>
  </si>
  <si>
    <t xml:space="preserve"> Install servers</t>
  </si>
  <si>
    <t xml:space="preserve"> 3.6</t>
  </si>
  <si>
    <t xml:space="preserve"> Ensure network functionality</t>
  </si>
  <si>
    <t xml:space="preserve">Devices need to be successfully connected to the network. </t>
  </si>
  <si>
    <t xml:space="preserve"> Test network speeds</t>
  </si>
  <si>
    <t xml:space="preserve">Devices need to connect quickly to the network and run quickly using the network. </t>
  </si>
  <si>
    <t xml:space="preserve"> Test network coverage</t>
  </si>
  <si>
    <t xml:space="preserve"> 2.3</t>
  </si>
  <si>
    <t xml:space="preserve"> Install Software</t>
  </si>
  <si>
    <t>Software needs to be installed on all computers.</t>
  </si>
  <si>
    <t xml:space="preserve"> Configure network hardware</t>
  </si>
  <si>
    <t>Install cat7 cabling throughout the facility.</t>
  </si>
  <si>
    <t>Install access points and routers.</t>
  </si>
  <si>
    <t xml:space="preserve"> Install modem(s)</t>
  </si>
  <si>
    <t xml:space="preserve"> 3.7</t>
  </si>
  <si>
    <t>3.1, 3.2, 3.3, 3.4, 3.5</t>
  </si>
  <si>
    <t>Install modem(s) to allow devices to connect to the internet.</t>
  </si>
  <si>
    <t>Install switches to allow all devices to connect to the network.</t>
  </si>
  <si>
    <t xml:space="preserve">Install servers to provide high-availablity, storage, and failover. </t>
  </si>
  <si>
    <t xml:space="preserve">Configure the network to allow all devices to succesfully connect to the network. </t>
  </si>
  <si>
    <t>Date of Completion</t>
  </si>
  <si>
    <t>Sign Contract for Salesforce CRM</t>
  </si>
  <si>
    <t>Sign Contract for Microsoft Office 365</t>
  </si>
  <si>
    <t>Sign Contract for Paycom</t>
  </si>
  <si>
    <t>Sign Contract for Pidgin</t>
  </si>
  <si>
    <t>Sign Contract for Basecamp</t>
  </si>
  <si>
    <t xml:space="preserve">Provide payment to vendor and develop an agreement on terms &amp; conditions. </t>
  </si>
  <si>
    <t xml:space="preserve">  2.2.1</t>
  </si>
  <si>
    <t xml:space="preserve">  2.2.2</t>
  </si>
  <si>
    <t xml:space="preserve">  2.2.3</t>
  </si>
  <si>
    <t xml:space="preserve">  2.2.4</t>
  </si>
  <si>
    <t xml:space="preserve">  2.2.5</t>
  </si>
  <si>
    <t xml:space="preserve">  2.2.6</t>
  </si>
  <si>
    <t xml:space="preserve">  2.3.1</t>
  </si>
  <si>
    <t xml:space="preserve">  2.3.2</t>
  </si>
  <si>
    <t xml:space="preserve">  2.3.3</t>
  </si>
  <si>
    <t xml:space="preserve">  2.3.4</t>
  </si>
  <si>
    <t xml:space="preserve">  2.3.5</t>
  </si>
  <si>
    <t xml:space="preserve">  2.3.6</t>
  </si>
  <si>
    <t>Install Salesforce CRM</t>
  </si>
  <si>
    <t>Install Microsoft Office 365</t>
  </si>
  <si>
    <t>Install Paycom</t>
  </si>
  <si>
    <t>Install Pidgin</t>
  </si>
  <si>
    <t>Install Basecamp</t>
  </si>
  <si>
    <t xml:space="preserve"> 2.4</t>
  </si>
  <si>
    <t>Test Software &amp; Logins</t>
  </si>
  <si>
    <t xml:space="preserve">Test each user's login credentials and ensure products work accordingly. </t>
  </si>
  <si>
    <t xml:space="preserve">Install Salesforce CRM on all devices &amp; create user login credentials. </t>
  </si>
  <si>
    <t xml:space="preserve">Install Microsoft Office 365 on all devices &amp; create user login credentials. </t>
  </si>
  <si>
    <t xml:space="preserve">Install Paycom on all devices &amp; create user login credentials. </t>
  </si>
  <si>
    <t>Install Pidgin on all devices &amp; create chat rooms for all departments.</t>
  </si>
  <si>
    <t xml:space="preserve">Install Basecamp on all devices assigned to technical or project involved staff members &amp; create team groups &amp; user login credentials. </t>
  </si>
  <si>
    <t>2.2, 2.3</t>
  </si>
  <si>
    <t>John Doughe</t>
  </si>
  <si>
    <t>Betsy Knowit &amp; Felicia Ainslie</t>
  </si>
  <si>
    <t xml:space="preserve">  2.4.1</t>
  </si>
  <si>
    <t xml:space="preserve">  2.4.2</t>
  </si>
  <si>
    <t>Test Logins</t>
  </si>
  <si>
    <t>Test Access</t>
  </si>
  <si>
    <t>Test that user logins work correctly with temp passwords and force password changes.</t>
  </si>
  <si>
    <t>Test that users can only access their set groups / chats.</t>
  </si>
  <si>
    <t xml:space="preserve">  2.2.7</t>
  </si>
  <si>
    <t>Sign Contract for Avast</t>
  </si>
  <si>
    <t xml:space="preserve">  2.3.7</t>
  </si>
  <si>
    <t>Install Avast</t>
  </si>
  <si>
    <t>Install Avast on all devices.</t>
  </si>
  <si>
    <t>Test Security Measures</t>
  </si>
  <si>
    <t>Ensure security measures prevent harm to devices and data.</t>
  </si>
  <si>
    <t>Status</t>
  </si>
  <si>
    <t>Actual Start Date</t>
  </si>
  <si>
    <t>Planned Start Date</t>
  </si>
  <si>
    <t>Reason Description</t>
  </si>
  <si>
    <t xml:space="preserve">Network Engineer time off for personal reasons. </t>
  </si>
  <si>
    <t>Delieveries delayed due to the holidays.</t>
  </si>
  <si>
    <t>Complete</t>
  </si>
  <si>
    <t>Delayed due to insuffiecient power strips.</t>
  </si>
  <si>
    <t>Vendor rescheduled.</t>
  </si>
  <si>
    <t>Complications in contract negotiation delayed completion.</t>
  </si>
  <si>
    <t xml:space="preserve">Delayed to do contraction negotiaion issues. </t>
  </si>
  <si>
    <t>Sign Contract for TeamViewer</t>
  </si>
  <si>
    <t>Install TeamViewer</t>
  </si>
  <si>
    <t>Install TeamViewer on all devices.</t>
  </si>
  <si>
    <t xml:space="preserve">  3.6.1</t>
  </si>
  <si>
    <t>Connect all access points</t>
  </si>
  <si>
    <t>Connect devices to network</t>
  </si>
  <si>
    <t xml:space="preserve">Connect access points and routers to the appropriate switches. </t>
  </si>
  <si>
    <t xml:space="preserve">  3.6.2</t>
  </si>
  <si>
    <t>Connect switches</t>
  </si>
  <si>
    <t>Connect all switches to the appropriate modem(s).</t>
  </si>
  <si>
    <t xml:space="preserve">  3.6.3</t>
  </si>
  <si>
    <t xml:space="preserve">Power on </t>
  </si>
  <si>
    <t xml:space="preserve">Turn on the modems, routers, switches, and computers. </t>
  </si>
  <si>
    <t xml:space="preserve">  3.7.1</t>
  </si>
  <si>
    <t>Access webui for all routers</t>
  </si>
  <si>
    <t xml:space="preserve">   3.7.1.1</t>
  </si>
  <si>
    <t>Change router usernames/passwords</t>
  </si>
  <si>
    <t>Add WPA2 Security</t>
  </si>
  <si>
    <t>Change SSID</t>
  </si>
  <si>
    <t>Use the IP address of each router to configure the settings for it .</t>
  </si>
  <si>
    <t xml:space="preserve">Change all router usernames and passwords to a combination of letters, numbers, and symbols. Take note of these changes and document them somewhere safe. </t>
  </si>
  <si>
    <t xml:space="preserve">Set encyption security measures using strong passphrases for wireless access. </t>
  </si>
  <si>
    <t xml:space="preserve">Choose a descriptive name for the network so staff members can easily identify it. </t>
  </si>
  <si>
    <t>Change Network Channel</t>
  </si>
  <si>
    <t xml:space="preserve">Switch routers to use channel 11 for minimal interference. </t>
  </si>
  <si>
    <t>Configure Routers</t>
  </si>
  <si>
    <t xml:space="preserve">  3.7.2</t>
  </si>
  <si>
    <t xml:space="preserve">    3.7.1.1.1</t>
  </si>
  <si>
    <t xml:space="preserve">    3.7.1.1.2</t>
  </si>
  <si>
    <t xml:space="preserve">    3.7.1.1.3</t>
  </si>
  <si>
    <t xml:space="preserve">    3.7.1.1.4</t>
  </si>
  <si>
    <t>Configure Switches</t>
  </si>
  <si>
    <t xml:space="preserve">The routers need to be configured for accessability and security. </t>
  </si>
  <si>
    <t xml:space="preserve">   3.7.2.1</t>
  </si>
  <si>
    <t xml:space="preserve">   3.7.2.2</t>
  </si>
  <si>
    <t xml:space="preserve">   3.7.2.3</t>
  </si>
  <si>
    <t xml:space="preserve">Switches need to be configured to maximize the networks broadcast and keep it secure. </t>
  </si>
  <si>
    <t>3.1, 3.2, 3.4</t>
  </si>
  <si>
    <t>3.3, 3.6.1</t>
  </si>
  <si>
    <t>3.6.1, 3.6.2</t>
  </si>
  <si>
    <t>3.7.1.1</t>
  </si>
  <si>
    <t>3.6.2</t>
  </si>
  <si>
    <t>VLANs</t>
  </si>
  <si>
    <t xml:space="preserve">Divide the network into separate virtual local area networks for each department. </t>
  </si>
  <si>
    <t>RSTP</t>
  </si>
  <si>
    <t xml:space="preserve">Provide redundancy by configuring the Rapid Spanning Tree Protocol and dedicate one switch as the Root. </t>
  </si>
  <si>
    <t>Port Security</t>
  </si>
  <si>
    <t xml:space="preserve">Ensure the appropriate device Mac Addresses are assigned to definte ports. </t>
  </si>
  <si>
    <t xml:space="preserve"> 5.1</t>
  </si>
  <si>
    <t xml:space="preserve">  4.1</t>
  </si>
  <si>
    <t>Add Welcome Security Message</t>
  </si>
  <si>
    <t xml:space="preserve">  4.2</t>
  </si>
  <si>
    <t>Add Physical Locks</t>
  </si>
  <si>
    <t>Extra Security Measures</t>
  </si>
  <si>
    <t>Add a message that appears during device powering on to inform users of legal actions that may be taken if property is misused.</t>
  </si>
  <si>
    <t xml:space="preserve">Add physical locks to desktop towers and servers. </t>
  </si>
  <si>
    <t>Lisa Frank</t>
  </si>
  <si>
    <t>1.1, 1.2, 1.2.1, 1.2.2, 1.2.3</t>
  </si>
  <si>
    <t>1.2, 3.5</t>
  </si>
  <si>
    <t>1.1, 1.2, 1.2.1, 1.2.2, 1.2.3, 3.5</t>
  </si>
  <si>
    <t>Adjust First Floor Design</t>
  </si>
  <si>
    <t>6</t>
  </si>
  <si>
    <t xml:space="preserve"> 6.1</t>
  </si>
  <si>
    <t xml:space="preserve"> 6.2</t>
  </si>
  <si>
    <t xml:space="preserve"> 6.3</t>
  </si>
  <si>
    <t>6.4</t>
  </si>
  <si>
    <t>7</t>
  </si>
  <si>
    <t>Access Points</t>
  </si>
  <si>
    <t>Place access point to allow for continual connectivity through the hall between the north and south wings of the facility.</t>
  </si>
  <si>
    <t xml:space="preserve">Ensure first floor can walk between north and south wings uninterupted. </t>
  </si>
  <si>
    <t>3.1, 3.2, 3.3, 3.4, 3.5, 3.6</t>
  </si>
  <si>
    <t>Change Request Form Effective 12/20/2018</t>
  </si>
  <si>
    <t>Change Request Form Effective 12/20/2019</t>
  </si>
  <si>
    <t xml:space="preserve">  6.1.1</t>
  </si>
  <si>
    <t xml:space="preserve">  6.3.1</t>
  </si>
  <si>
    <t xml:space="preserve">  6.2.1</t>
  </si>
  <si>
    <t xml:space="preserve"> Ensure network functionality in first floor hall</t>
  </si>
  <si>
    <t xml:space="preserve"> Ensure network speeds in first floor hall</t>
  </si>
  <si>
    <t xml:space="preserve"> Ensure network coverage in first floor hall</t>
  </si>
  <si>
    <t xml:space="preserve">Devices need to be able to connect from anywhere on the top two floors and from the north or south wings on the first floor. </t>
  </si>
  <si>
    <t>Test that network covers a straight path to/from the north and south wings of the first floor. (Change Request Form effective 12/20/2018).</t>
  </si>
  <si>
    <t>Test that devices can connect between the north and south wings of the first floor. (Change Request Form effective 12/20/2018).</t>
  </si>
  <si>
    <t>Test that devices have adequate network speed between the north and south wings of the first floor. (Change Request Form effective 12/20/2018).</t>
  </si>
  <si>
    <t>Delays due do Network coverage issues.</t>
  </si>
  <si>
    <t>Delays due to past issues and absenteeism.</t>
  </si>
  <si>
    <t xml:space="preserve">Connect the devices to ethernet cabling, access points, switches, routers, modems, and servers. </t>
  </si>
  <si>
    <t xml:space="preserve">  6.3.2</t>
  </si>
  <si>
    <t xml:space="preserve">  6.3.3</t>
  </si>
  <si>
    <t>Ensure network coverage on second floor</t>
  </si>
  <si>
    <t>Ensure network coverage on third floor</t>
  </si>
  <si>
    <t xml:space="preserve">  6.4.1</t>
  </si>
  <si>
    <t xml:space="preserve">  6.4.2</t>
  </si>
  <si>
    <t xml:space="preserve">  6.4.3</t>
  </si>
  <si>
    <t xml:space="preserve">  6.4.4</t>
  </si>
  <si>
    <t>Test physical locks</t>
  </si>
  <si>
    <t xml:space="preserve">   6.4.1.1</t>
  </si>
  <si>
    <t xml:space="preserve">   6.4.1.2</t>
  </si>
  <si>
    <t>Test Server door locks</t>
  </si>
  <si>
    <t>Test Port security</t>
  </si>
  <si>
    <t xml:space="preserve">  6.1.2</t>
  </si>
  <si>
    <t xml:space="preserve">  6.1.3</t>
  </si>
  <si>
    <t>Ensure network funcionality on second floor</t>
  </si>
  <si>
    <t>Ensure network funcionality on third floor</t>
  </si>
  <si>
    <t xml:space="preserve">  6.2.2</t>
  </si>
  <si>
    <t xml:space="preserve">  6.2.3</t>
  </si>
  <si>
    <t>Ensure network speeds on the second floor</t>
  </si>
  <si>
    <t>Ensure network speeds on the third floor</t>
  </si>
  <si>
    <t>Test that devices have adequate network speeds.</t>
  </si>
  <si>
    <t xml:space="preserve">Test that the network covers 100% of the second floor. </t>
  </si>
  <si>
    <t xml:space="preserve">Test that the network covers 100% of the third  floor. </t>
  </si>
  <si>
    <t>Pen Testing</t>
  </si>
  <si>
    <t>Stress Testing</t>
  </si>
  <si>
    <t>Ensure physical locks are functional.</t>
  </si>
  <si>
    <t>Test Device Locks</t>
  </si>
  <si>
    <t xml:space="preserve">Ensure that physical locks on servers and computers are functional. </t>
  </si>
  <si>
    <t xml:space="preserve">Ensure that server door card access can not be accessed in other methods. </t>
  </si>
  <si>
    <t xml:space="preserve">Ensure that ports are properly assigned and plugging other devices into them does not allow connectivity. </t>
  </si>
  <si>
    <t>Ensure that the network and devices on it cannot be hacked.</t>
  </si>
  <si>
    <t xml:space="preserve">Ensure that the network can handle the amount of stress anticipated and that the failover's in place function appropriately. </t>
  </si>
  <si>
    <t xml:space="preserve"> 7.1</t>
  </si>
  <si>
    <t xml:space="preserve"> 7.2</t>
  </si>
  <si>
    <t xml:space="preserve">Product Completion Review </t>
  </si>
  <si>
    <t>Have all employees connect to the network</t>
  </si>
  <si>
    <t xml:space="preserve">  7.1.1</t>
  </si>
  <si>
    <t>Have employees begin work as normal</t>
  </si>
  <si>
    <t xml:space="preserve">The employees should check that their devices automatically connect to the network without them typing in the password. </t>
  </si>
  <si>
    <t xml:space="preserve"> 7.3</t>
  </si>
  <si>
    <t xml:space="preserve">Email all stakeholders a summary of the successful deliverables and outstanding items. </t>
  </si>
  <si>
    <t xml:space="preserve">Employees should resume normal production using the newly developed network. </t>
  </si>
  <si>
    <t xml:space="preserve">Test that devices can connect to the network on the second floor and access their tools/ internet. </t>
  </si>
  <si>
    <t xml:space="preserve">Test that devices can connect to the network on the third floor and access their tools/ internet. </t>
  </si>
  <si>
    <t>3.7, 5</t>
  </si>
  <si>
    <t>3.7.2.3</t>
  </si>
  <si>
    <t>3.7, 3.7.2.3 4, 4.1, 4.2</t>
  </si>
  <si>
    <t>1, 2, 3, 4, 5, 6, 7</t>
  </si>
  <si>
    <t>Final Status Report</t>
  </si>
  <si>
    <t xml:space="preserve"> 7.4</t>
  </si>
  <si>
    <t>Lessons Learned</t>
  </si>
  <si>
    <t>Submit the final status report to stakeholders.</t>
  </si>
  <si>
    <t xml:space="preserve">Document all lessons learned for the project.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</si>
</sst>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2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 Unicode MS"/>
      <family val="2"/>
    </font>
    <font>
      <b/>
      <sz val="11"/>
      <color theme="0"/>
      <name val="Calibri"/>
      <family val="2"/>
      <scheme val="minor"/>
    </font>
    <font>
      <b/>
      <sz val="9"/>
      <color theme="0"/>
      <name val="Arial"/>
      <family val="2"/>
    </font>
    <font>
      <b/>
      <i/>
      <sz val="10"/>
      <color theme="0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7030A0"/>
      <name val="Arial"/>
      <family val="2"/>
    </font>
    <font>
      <sz val="11"/>
      <color rgb="FF7030A0"/>
      <name val="Calibri"/>
      <family val="2"/>
      <scheme val="minor"/>
    </font>
    <font>
      <sz val="10"/>
      <color rgb="FF00B050"/>
      <name val="Arial"/>
      <family val="2"/>
    </font>
    <font>
      <sz val="11"/>
      <color rgb="FF00B050"/>
      <name val="Calibri"/>
      <family val="2"/>
      <scheme val="minor"/>
    </font>
    <font>
      <sz val="10"/>
      <color rgb="FFFF0000"/>
      <name val="Arial"/>
      <family val="2"/>
    </font>
    <font>
      <b/>
      <sz val="9"/>
      <name val="Arial"/>
      <family val="2"/>
    </font>
    <font>
      <b/>
      <sz val="9"/>
      <name val="Arial Unicode MS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89">
    <xf numFmtId="0" fontId="0" fillId="0" borderId="0" xfId="0"/>
    <xf numFmtId="49" fontId="2" fillId="0" borderId="1" xfId="0" applyNumberFormat="1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49" fontId="1" fillId="0" borderId="1" xfId="0" applyNumberFormat="1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164" fontId="1" fillId="0" borderId="1" xfId="0" applyNumberFormat="1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164" fontId="8" fillId="3" borderId="1" xfId="0" applyNumberFormat="1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  <xf numFmtId="0" fontId="0" fillId="0" borderId="0" xfId="0" applyNumberFormat="1" applyFont="1" applyFill="1" applyBorder="1" applyAlignment="1" applyProtection="1"/>
    <xf numFmtId="164" fontId="0" fillId="3" borderId="1" xfId="0" applyNumberFormat="1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14" fontId="8" fillId="3" borderId="1" xfId="0" applyNumberFormat="1" applyFont="1" applyFill="1" applyBorder="1" applyAlignment="1">
      <alignment horizontal="left" vertical="top" wrapText="1"/>
    </xf>
    <xf numFmtId="14" fontId="1" fillId="0" borderId="0" xfId="0" applyNumberFormat="1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left" vertical="top" wrapText="1"/>
    </xf>
    <xf numFmtId="0" fontId="12" fillId="0" borderId="1" xfId="0" applyFont="1" applyFill="1" applyBorder="1" applyAlignment="1">
      <alignment horizontal="left" vertical="top" wrapText="1"/>
    </xf>
    <xf numFmtId="0" fontId="13" fillId="0" borderId="1" xfId="0" applyFont="1" applyFill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top" wrapText="1"/>
    </xf>
    <xf numFmtId="0" fontId="14" fillId="0" borderId="1" xfId="0" applyFont="1" applyFill="1" applyBorder="1" applyAlignment="1">
      <alignment horizontal="left" vertical="top" wrapText="1"/>
    </xf>
    <xf numFmtId="0" fontId="14" fillId="0" borderId="0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top" wrapText="1"/>
    </xf>
    <xf numFmtId="49" fontId="15" fillId="0" borderId="1" xfId="0" applyNumberFormat="1" applyFont="1" applyFill="1" applyBorder="1" applyAlignment="1">
      <alignment horizontal="left" vertical="top" wrapText="1"/>
    </xf>
    <xf numFmtId="0" fontId="16" fillId="0" borderId="1" xfId="0" applyFont="1" applyFill="1" applyBorder="1" applyAlignment="1">
      <alignment horizontal="left" vertical="top" wrapText="1"/>
    </xf>
    <xf numFmtId="0" fontId="17" fillId="0" borderId="1" xfId="0" applyFont="1" applyFill="1" applyBorder="1" applyAlignment="1">
      <alignment horizontal="left" vertical="top" wrapText="1"/>
    </xf>
    <xf numFmtId="164" fontId="17" fillId="0" borderId="1" xfId="0" applyNumberFormat="1" applyFont="1" applyFill="1" applyBorder="1" applyAlignment="1">
      <alignment horizontal="left" vertical="top" wrapText="1"/>
    </xf>
    <xf numFmtId="14" fontId="17" fillId="0" borderId="1" xfId="0" applyNumberFormat="1" applyFont="1" applyFill="1" applyBorder="1" applyAlignment="1">
      <alignment horizontal="left" vertical="top" wrapText="1"/>
    </xf>
    <xf numFmtId="164" fontId="1" fillId="0" borderId="0" xfId="0" applyNumberFormat="1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164" fontId="17" fillId="0" borderId="0" xfId="0" applyNumberFormat="1" applyFont="1" applyFill="1" applyBorder="1" applyAlignment="1">
      <alignment horizontal="left" vertical="top" wrapText="1"/>
    </xf>
    <xf numFmtId="14" fontId="17" fillId="0" borderId="0" xfId="0" applyNumberFormat="1" applyFont="1" applyFill="1" applyBorder="1" applyAlignment="1">
      <alignment horizontal="left" vertical="top" wrapText="1"/>
    </xf>
    <xf numFmtId="0" fontId="18" fillId="0" borderId="0" xfId="0" applyNumberFormat="1" applyFont="1" applyFill="1" applyBorder="1" applyAlignment="1" applyProtection="1"/>
    <xf numFmtId="0" fontId="18" fillId="4" borderId="1" xfId="0" applyFont="1" applyFill="1" applyBorder="1" applyAlignment="1">
      <alignment horizontal="left" vertical="top" wrapText="1"/>
    </xf>
    <xf numFmtId="164" fontId="18" fillId="4" borderId="1" xfId="0" applyNumberFormat="1" applyFont="1" applyFill="1" applyBorder="1" applyAlignment="1">
      <alignment horizontal="left" vertical="top" wrapText="1"/>
    </xf>
    <xf numFmtId="0" fontId="18" fillId="3" borderId="1" xfId="0" applyFont="1" applyFill="1" applyBorder="1" applyAlignment="1">
      <alignment horizontal="left" vertical="top" wrapText="1"/>
    </xf>
    <xf numFmtId="164" fontId="18" fillId="3" borderId="1" xfId="0" applyNumberFormat="1" applyFont="1" applyFill="1" applyBorder="1" applyAlignment="1">
      <alignment horizontal="left" vertical="top" wrapText="1"/>
    </xf>
    <xf numFmtId="14" fontId="18" fillId="3" borderId="1" xfId="0" applyNumberFormat="1" applyFont="1" applyFill="1" applyBorder="1" applyAlignment="1">
      <alignment horizontal="left" vertical="top" wrapText="1"/>
    </xf>
    <xf numFmtId="0" fontId="18" fillId="0" borderId="1" xfId="0" applyFont="1" applyFill="1" applyBorder="1" applyAlignment="1">
      <alignment horizontal="left" vertical="top" wrapText="1"/>
    </xf>
    <xf numFmtId="164" fontId="8" fillId="3" borderId="0" xfId="0" applyNumberFormat="1" applyFont="1" applyFill="1" applyBorder="1" applyAlignment="1">
      <alignment horizontal="left" vertical="top" wrapText="1"/>
    </xf>
    <xf numFmtId="14" fontId="8" fillId="3" borderId="0" xfId="0" applyNumberFormat="1" applyFont="1" applyFill="1" applyBorder="1" applyAlignment="1">
      <alignment horizontal="left" vertical="top" wrapText="1"/>
    </xf>
    <xf numFmtId="0" fontId="8" fillId="3" borderId="0" xfId="0" applyFont="1" applyFill="1" applyBorder="1" applyAlignment="1">
      <alignment horizontal="left" vertical="top" wrapText="1"/>
    </xf>
    <xf numFmtId="0" fontId="0" fillId="3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164" fontId="8" fillId="0" borderId="1" xfId="0" applyNumberFormat="1" applyFont="1" applyFill="1" applyBorder="1" applyAlignment="1">
      <alignment horizontal="left" vertical="top" wrapText="1"/>
    </xf>
    <xf numFmtId="164" fontId="8" fillId="0" borderId="0" xfId="0" applyNumberFormat="1" applyFont="1" applyFill="1" applyBorder="1" applyAlignment="1">
      <alignment horizontal="left" vertical="top" wrapText="1"/>
    </xf>
    <xf numFmtId="14" fontId="8" fillId="0" borderId="0" xfId="0" applyNumberFormat="1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horizontal="left" vertical="top" wrapText="1"/>
    </xf>
    <xf numFmtId="14" fontId="0" fillId="0" borderId="0" xfId="0" applyNumberFormat="1" applyFont="1" applyFill="1" applyBorder="1" applyAlignment="1">
      <alignment horizontal="left" vertical="top" wrapText="1"/>
    </xf>
    <xf numFmtId="49" fontId="19" fillId="3" borderId="1" xfId="0" applyNumberFormat="1" applyFont="1" applyFill="1" applyBorder="1" applyAlignment="1">
      <alignment horizontal="left" vertical="top" wrapText="1"/>
    </xf>
    <xf numFmtId="0" fontId="19" fillId="3" borderId="1" xfId="0" applyFont="1" applyFill="1" applyBorder="1" applyAlignment="1">
      <alignment horizontal="left" vertical="top" wrapText="1"/>
    </xf>
    <xf numFmtId="49" fontId="19" fillId="0" borderId="1" xfId="0" applyNumberFormat="1" applyFont="1" applyFill="1" applyBorder="1" applyAlignment="1">
      <alignment horizontal="left" vertical="top" wrapText="1"/>
    </xf>
    <xf numFmtId="0" fontId="19" fillId="0" borderId="1" xfId="0" applyFont="1" applyFill="1" applyBorder="1" applyAlignment="1">
      <alignment horizontal="left" vertical="top" wrapText="1"/>
    </xf>
    <xf numFmtId="49" fontId="18" fillId="4" borderId="1" xfId="0" applyNumberFormat="1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164" fontId="8" fillId="5" borderId="1" xfId="0" applyNumberFormat="1" applyFont="1" applyFill="1" applyBorder="1" applyAlignment="1">
      <alignment horizontal="left" vertical="top" wrapText="1"/>
    </xf>
    <xf numFmtId="164" fontId="8" fillId="5" borderId="0" xfId="0" applyNumberFormat="1" applyFont="1" applyFill="1" applyBorder="1" applyAlignment="1">
      <alignment horizontal="left" vertical="top" wrapText="1"/>
    </xf>
    <xf numFmtId="14" fontId="8" fillId="5" borderId="0" xfId="0" applyNumberFormat="1" applyFont="1" applyFill="1" applyBorder="1" applyAlignment="1">
      <alignment horizontal="left" vertical="top" wrapText="1"/>
    </xf>
    <xf numFmtId="0" fontId="0" fillId="5" borderId="1" xfId="0" applyFont="1" applyFill="1" applyBorder="1" applyAlignment="1">
      <alignment horizontal="left" vertical="top" wrapText="1"/>
    </xf>
    <xf numFmtId="0" fontId="9" fillId="3" borderId="0" xfId="0" applyFont="1" applyFill="1" applyBorder="1" applyAlignment="1">
      <alignment horizontal="left" vertical="top" wrapText="1"/>
    </xf>
    <xf numFmtId="0" fontId="0" fillId="3" borderId="0" xfId="0" applyFont="1" applyFill="1" applyBorder="1" applyAlignment="1">
      <alignment horizontal="left" vertical="top" wrapText="1"/>
    </xf>
    <xf numFmtId="0" fontId="9" fillId="5" borderId="0" xfId="0" applyFont="1" applyFill="1" applyBorder="1" applyAlignment="1">
      <alignment horizontal="left" vertical="top" wrapText="1"/>
    </xf>
    <xf numFmtId="0" fontId="0" fillId="5" borderId="0" xfId="0" applyFont="1" applyFill="1" applyBorder="1" applyAlignment="1">
      <alignment horizontal="left" vertical="top" wrapText="1"/>
    </xf>
    <xf numFmtId="0" fontId="18" fillId="6" borderId="0" xfId="0" applyNumberFormat="1" applyFont="1" applyFill="1" applyBorder="1" applyAlignment="1" applyProtection="1"/>
    <xf numFmtId="0" fontId="0" fillId="6" borderId="0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13" fillId="3" borderId="1" xfId="0" applyFont="1" applyFill="1" applyBorder="1" applyAlignment="1">
      <alignment horizontal="center" vertical="top" wrapText="1"/>
    </xf>
    <xf numFmtId="0" fontId="13" fillId="5" borderId="1" xfId="0" applyFont="1" applyFill="1" applyBorder="1" applyAlignment="1">
      <alignment horizontal="center" vertical="top" wrapText="1"/>
    </xf>
    <xf numFmtId="0" fontId="13" fillId="6" borderId="1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center" vertical="top" wrapText="1"/>
    </xf>
    <xf numFmtId="0" fontId="12" fillId="6" borderId="0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49" fontId="5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164" fontId="4" fillId="2" borderId="1" xfId="0" applyNumberFormat="1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9" fontId="12" fillId="6" borderId="0" xfId="0" applyNumberFormat="1" applyFont="1" applyFill="1" applyBorder="1" applyAlignment="1">
      <alignment horizontal="center" vertical="top" wrapText="1"/>
    </xf>
    <xf numFmtId="0" fontId="19" fillId="5" borderId="1" xfId="0" applyFont="1" applyFill="1" applyBorder="1" applyAlignment="1">
      <alignment horizontal="left" vertical="top" wrapText="1"/>
    </xf>
    <xf numFmtId="49" fontId="19" fillId="5" borderId="1" xfId="0" applyNumberFormat="1" applyFont="1" applyFill="1" applyBorder="1" applyAlignment="1">
      <alignment horizontal="left" vertical="top" wrapText="1"/>
    </xf>
    <xf numFmtId="0" fontId="18" fillId="5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14" fontId="18" fillId="4" borderId="1" xfId="0" applyNumberFormat="1" applyFont="1" applyFill="1" applyBorder="1" applyAlignment="1">
      <alignment horizontal="left" vertical="top" wrapText="1"/>
    </xf>
    <xf numFmtId="0" fontId="12" fillId="7" borderId="0" xfId="0" applyFont="1" applyFill="1" applyBorder="1" applyAlignment="1">
      <alignment horizontal="center" vertical="top" wrapText="1"/>
    </xf>
    <xf numFmtId="14" fontId="1" fillId="0" borderId="1" xfId="0" applyNumberFormat="1" applyFont="1" applyFill="1" applyBorder="1" applyAlignment="1">
      <alignment horizontal="left" vertical="top" wrapText="1"/>
    </xf>
    <xf numFmtId="0" fontId="19" fillId="4" borderId="1" xfId="0" applyFont="1" applyFill="1" applyBorder="1" applyAlignment="1">
      <alignment horizontal="left" vertical="top" wrapText="1"/>
    </xf>
    <xf numFmtId="0" fontId="20" fillId="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revisionHeaders" Target="revisions/revisionHeader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140" Type="http://schemas.openxmlformats.org/officeDocument/2006/relationships/revisionLog" Target="revisionLog1.xml"/><Relationship Id="rId139" Type="http://schemas.openxmlformats.org/officeDocument/2006/relationships/revisionLog" Target="revisionLog12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B9A11CE8-61C4-4D7B-9848-0366E5389C81}" diskRevisions="1" revisionId="1694" version="2">
  <header guid="{6E2A7FDF-1B71-4442-A39C-7E29F574FF6C}" dateTime="2021-07-30T22:16:50" maxSheetId="2" userName="Felicia Ainslie" r:id="rId139">
    <sheetIdMap count="1">
      <sheetId val="1"/>
    </sheetIdMap>
  </header>
  <header guid="{B9A11CE8-61C4-4D7B-9848-0366E5389C81}" dateTime="2021-08-01T21:17:07" maxSheetId="2" userName="felicia ainslie" r:id="rId140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173BB5D-F883-4E75-8561-D8B9C8A34FCB}" action="delete"/>
  <rcv guid="{2173BB5D-F883-4E75-8561-D8B9C8A34FCB}" action="add"/>
</revisions>
</file>

<file path=xl/revisions/revisionLog1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173BB5D-F883-4E75-8561-D8B9C8A34FCB}" action="delete"/>
  <rcv guid="{2173BB5D-F883-4E75-8561-D8B9C8A34FCB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95"/>
  <sheetViews>
    <sheetView tabSelected="1" zoomScale="70" zoomScaleNormal="70" workbookViewId="0">
      <pane ySplit="1" topLeftCell="A2" activePane="bottomLeft" state="frozen"/>
      <selection activeCell="B1" sqref="B1"/>
      <selection pane="bottomLeft" activeCell="E84" sqref="E84"/>
    </sheetView>
  </sheetViews>
  <sheetFormatPr defaultColWidth="9.140625" defaultRowHeight="15"/>
  <cols>
    <col min="1" max="1" width="15.28515625" style="4" customWidth="1"/>
    <col min="2" max="2" width="34.140625" style="2" customWidth="1"/>
    <col min="3" max="3" width="43.85546875" style="2" customWidth="1"/>
    <col min="4" max="5" width="12.5703125" style="6" customWidth="1"/>
    <col min="6" max="6" width="11.7109375" style="2" customWidth="1"/>
    <col min="7" max="7" width="12.140625" style="2" customWidth="1"/>
    <col min="8" max="8" width="30" style="2" bestFit="1" customWidth="1"/>
    <col min="9" max="10" width="20.28515625" style="2" customWidth="1"/>
    <col min="11" max="11" width="20.28515625" style="73" customWidth="1"/>
    <col min="12" max="12" width="20" style="2" bestFit="1" customWidth="1"/>
    <col min="13" max="13" width="20.28515625" style="2" customWidth="1"/>
    <col min="14" max="14" width="17.7109375" style="2" customWidth="1"/>
    <col min="15" max="15" width="19.28515625" style="2" bestFit="1" customWidth="1"/>
    <col min="16" max="16" width="10" style="2" customWidth="1"/>
    <col min="17" max="21" width="9.140625" style="2"/>
    <col min="22" max="16384" width="9.140625" style="3"/>
  </cols>
  <sheetData>
    <row r="1" spans="1:21" s="78" customFormat="1" ht="38.25">
      <c r="A1" s="74" t="s">
        <v>0</v>
      </c>
      <c r="B1" s="75" t="s">
        <v>4</v>
      </c>
      <c r="C1" s="67" t="s">
        <v>6</v>
      </c>
      <c r="D1" s="76" t="s">
        <v>7</v>
      </c>
      <c r="E1" s="76" t="s">
        <v>8</v>
      </c>
      <c r="F1" s="77" t="s">
        <v>11</v>
      </c>
      <c r="G1" s="67" t="s">
        <v>5</v>
      </c>
      <c r="H1" s="67" t="s">
        <v>9</v>
      </c>
      <c r="I1" s="67" t="s">
        <v>143</v>
      </c>
      <c r="J1" s="67" t="s">
        <v>142</v>
      </c>
      <c r="K1" s="67" t="s">
        <v>141</v>
      </c>
      <c r="L1" s="67" t="s">
        <v>144</v>
      </c>
      <c r="M1" s="67" t="s">
        <v>93</v>
      </c>
      <c r="N1" s="78" t="s">
        <v>10</v>
      </c>
      <c r="O1" s="67" t="s">
        <v>12</v>
      </c>
      <c r="P1" s="67"/>
      <c r="Q1" s="67"/>
      <c r="R1" s="67"/>
      <c r="S1" s="67"/>
      <c r="T1" s="67"/>
      <c r="U1" s="67"/>
    </row>
    <row r="2" spans="1:21" s="19" customFormat="1" ht="30">
      <c r="A2" s="51" t="s">
        <v>1</v>
      </c>
      <c r="B2" s="52" t="s">
        <v>13</v>
      </c>
      <c r="C2" s="35" t="s">
        <v>20</v>
      </c>
      <c r="D2" s="36">
        <v>43411</v>
      </c>
      <c r="E2" s="36">
        <v>43419</v>
      </c>
      <c r="F2" s="35">
        <v>40</v>
      </c>
      <c r="G2" s="35">
        <v>5</v>
      </c>
      <c r="H2" s="35"/>
      <c r="I2" s="37">
        <v>43411</v>
      </c>
      <c r="J2" s="37">
        <v>43411</v>
      </c>
      <c r="K2" s="68" t="s">
        <v>147</v>
      </c>
      <c r="M2" s="37">
        <v>43419</v>
      </c>
      <c r="N2" s="35" t="s">
        <v>41</v>
      </c>
      <c r="O2" s="35" t="s">
        <v>40</v>
      </c>
    </row>
    <row r="3" spans="1:21" s="18" customFormat="1" ht="25.5">
      <c r="A3" s="23" t="s">
        <v>25</v>
      </c>
      <c r="B3" s="24" t="s">
        <v>34</v>
      </c>
      <c r="C3" s="25" t="s">
        <v>28</v>
      </c>
      <c r="D3" s="26">
        <v>43411</v>
      </c>
      <c r="E3" s="26">
        <v>43413</v>
      </c>
      <c r="F3" s="25">
        <v>8</v>
      </c>
      <c r="G3" s="25">
        <v>1</v>
      </c>
      <c r="H3" s="25"/>
      <c r="I3" s="26">
        <f t="shared" ref="I3:I8" si="0">D3</f>
        <v>43411</v>
      </c>
      <c r="J3" s="27">
        <v>43411</v>
      </c>
      <c r="K3" s="69" t="s">
        <v>147</v>
      </c>
      <c r="L3" s="17"/>
      <c r="M3" s="27">
        <v>43415</v>
      </c>
      <c r="N3" s="25" t="s">
        <v>41</v>
      </c>
      <c r="O3" s="25" t="s">
        <v>40</v>
      </c>
      <c r="P3" s="17"/>
      <c r="Q3" s="17"/>
      <c r="R3" s="17"/>
      <c r="S3" s="17"/>
      <c r="T3" s="17"/>
      <c r="U3" s="17"/>
    </row>
    <row r="4" spans="1:21" s="18" customFormat="1" ht="25.5">
      <c r="A4" s="23" t="s">
        <v>26</v>
      </c>
      <c r="B4" s="24" t="s">
        <v>35</v>
      </c>
      <c r="C4" s="25" t="s">
        <v>29</v>
      </c>
      <c r="D4" s="26">
        <v>43411</v>
      </c>
      <c r="E4" s="26">
        <v>43413</v>
      </c>
      <c r="F4" s="25">
        <v>8</v>
      </c>
      <c r="G4" s="25">
        <v>1</v>
      </c>
      <c r="H4" s="25">
        <v>1.1000000000000001</v>
      </c>
      <c r="I4" s="26">
        <f t="shared" si="0"/>
        <v>43411</v>
      </c>
      <c r="J4" s="27">
        <v>43411</v>
      </c>
      <c r="K4" s="69" t="s">
        <v>147</v>
      </c>
      <c r="L4" s="17"/>
      <c r="M4" s="27">
        <v>43415</v>
      </c>
      <c r="N4" s="25" t="s">
        <v>41</v>
      </c>
      <c r="O4" s="25" t="s">
        <v>40</v>
      </c>
      <c r="P4" s="17"/>
      <c r="Q4" s="17"/>
      <c r="R4" s="17"/>
      <c r="S4" s="17"/>
      <c r="T4" s="17"/>
      <c r="U4" s="17"/>
    </row>
    <row r="5" spans="1:21" s="18" customFormat="1" ht="38.25">
      <c r="A5" s="23" t="s">
        <v>45</v>
      </c>
      <c r="B5" s="24" t="s">
        <v>57</v>
      </c>
      <c r="C5" s="25" t="s">
        <v>47</v>
      </c>
      <c r="D5" s="26">
        <v>43411</v>
      </c>
      <c r="E5" s="26">
        <v>43413</v>
      </c>
      <c r="F5" s="25">
        <v>2</v>
      </c>
      <c r="G5" s="25">
        <v>1</v>
      </c>
      <c r="H5" s="25" t="s">
        <v>62</v>
      </c>
      <c r="I5" s="26">
        <f t="shared" si="0"/>
        <v>43411</v>
      </c>
      <c r="J5" s="27">
        <v>43411</v>
      </c>
      <c r="K5" s="69" t="s">
        <v>147</v>
      </c>
      <c r="L5" s="20" t="s">
        <v>148</v>
      </c>
      <c r="M5" s="27">
        <v>43416</v>
      </c>
      <c r="N5" s="25" t="s">
        <v>41</v>
      </c>
      <c r="O5" s="25" t="s">
        <v>40</v>
      </c>
      <c r="P5" s="17"/>
      <c r="Q5" s="17"/>
      <c r="R5" s="17"/>
      <c r="S5" s="17"/>
      <c r="T5" s="17"/>
      <c r="U5" s="17"/>
    </row>
    <row r="6" spans="1:21" s="18" customFormat="1" ht="25.5">
      <c r="A6" s="23" t="s">
        <v>48</v>
      </c>
      <c r="B6" s="24" t="s">
        <v>49</v>
      </c>
      <c r="C6" s="25" t="s">
        <v>51</v>
      </c>
      <c r="D6" s="26">
        <v>43411</v>
      </c>
      <c r="E6" s="26">
        <v>43413</v>
      </c>
      <c r="F6" s="25">
        <v>2</v>
      </c>
      <c r="G6" s="25">
        <v>1</v>
      </c>
      <c r="H6" s="25" t="s">
        <v>62</v>
      </c>
      <c r="I6" s="26">
        <f t="shared" si="0"/>
        <v>43411</v>
      </c>
      <c r="J6" s="27">
        <v>43411</v>
      </c>
      <c r="K6" s="69" t="s">
        <v>147</v>
      </c>
      <c r="L6" s="17"/>
      <c r="M6" s="27">
        <v>43415</v>
      </c>
      <c r="N6" s="25" t="s">
        <v>41</v>
      </c>
      <c r="O6" s="25" t="s">
        <v>40</v>
      </c>
      <c r="P6" s="17"/>
      <c r="Q6" s="17"/>
      <c r="R6" s="17"/>
      <c r="S6" s="17"/>
      <c r="T6" s="17"/>
      <c r="U6" s="17"/>
    </row>
    <row r="7" spans="1:21" s="18" customFormat="1" ht="38.25">
      <c r="A7" s="23" t="s">
        <v>50</v>
      </c>
      <c r="B7" s="24" t="s">
        <v>55</v>
      </c>
      <c r="C7" s="25" t="s">
        <v>52</v>
      </c>
      <c r="D7" s="26">
        <v>43416</v>
      </c>
      <c r="E7" s="26">
        <v>43416</v>
      </c>
      <c r="F7" s="25">
        <v>4</v>
      </c>
      <c r="G7" s="25">
        <v>1</v>
      </c>
      <c r="H7" s="25" t="s">
        <v>63</v>
      </c>
      <c r="I7" s="26">
        <f t="shared" si="0"/>
        <v>43416</v>
      </c>
      <c r="J7" s="27">
        <v>43415</v>
      </c>
      <c r="K7" s="69" t="s">
        <v>147</v>
      </c>
      <c r="L7" s="20" t="s">
        <v>148</v>
      </c>
      <c r="M7" s="27">
        <v>43416</v>
      </c>
      <c r="N7" s="25" t="s">
        <v>126</v>
      </c>
      <c r="O7" s="25" t="s">
        <v>40</v>
      </c>
      <c r="P7" s="17"/>
      <c r="Q7" s="17"/>
      <c r="R7" s="17"/>
      <c r="S7" s="17"/>
      <c r="T7" s="17"/>
      <c r="U7" s="17"/>
    </row>
    <row r="8" spans="1:21" s="18" customFormat="1" ht="38.25">
      <c r="A8" s="23" t="s">
        <v>56</v>
      </c>
      <c r="B8" s="24" t="s">
        <v>58</v>
      </c>
      <c r="C8" s="25" t="s">
        <v>59</v>
      </c>
      <c r="D8" s="26">
        <v>43416</v>
      </c>
      <c r="E8" s="26">
        <v>43416</v>
      </c>
      <c r="F8" s="25">
        <v>4</v>
      </c>
      <c r="G8" s="25">
        <v>1</v>
      </c>
      <c r="H8" s="25" t="s">
        <v>63</v>
      </c>
      <c r="I8" s="26">
        <f t="shared" si="0"/>
        <v>43416</v>
      </c>
      <c r="J8" s="27">
        <v>43417</v>
      </c>
      <c r="K8" s="69" t="s">
        <v>147</v>
      </c>
      <c r="L8" s="20" t="s">
        <v>148</v>
      </c>
      <c r="M8" s="27">
        <v>43417</v>
      </c>
      <c r="N8" s="25" t="s">
        <v>126</v>
      </c>
      <c r="O8" s="25" t="s">
        <v>40</v>
      </c>
      <c r="P8" s="17"/>
      <c r="Q8" s="17"/>
      <c r="R8" s="17"/>
      <c r="S8" s="17"/>
      <c r="T8" s="17"/>
      <c r="U8" s="17"/>
    </row>
    <row r="9" spans="1:21" s="18" customFormat="1" ht="25.5">
      <c r="A9" s="23" t="s">
        <v>27</v>
      </c>
      <c r="B9" s="24" t="s">
        <v>36</v>
      </c>
      <c r="C9" s="25" t="s">
        <v>30</v>
      </c>
      <c r="D9" s="26">
        <v>43417</v>
      </c>
      <c r="E9" s="26">
        <v>43418</v>
      </c>
      <c r="F9" s="25">
        <v>4</v>
      </c>
      <c r="G9" s="25">
        <v>1</v>
      </c>
      <c r="H9" s="25"/>
      <c r="I9" s="26">
        <v>43416</v>
      </c>
      <c r="J9" s="27">
        <v>43417</v>
      </c>
      <c r="K9" s="69" t="s">
        <v>147</v>
      </c>
      <c r="L9" s="20"/>
      <c r="M9" s="27">
        <v>43417</v>
      </c>
      <c r="N9" s="25" t="s">
        <v>41</v>
      </c>
      <c r="O9" s="25" t="s">
        <v>40</v>
      </c>
      <c r="P9" s="17"/>
      <c r="Q9" s="17"/>
      <c r="R9" s="17"/>
      <c r="S9" s="17"/>
      <c r="T9" s="17"/>
      <c r="U9" s="17"/>
    </row>
    <row r="10" spans="1:21" s="18" customFormat="1" ht="38.25">
      <c r="A10" s="23" t="s">
        <v>53</v>
      </c>
      <c r="B10" s="24" t="s">
        <v>46</v>
      </c>
      <c r="C10" s="25" t="s">
        <v>54</v>
      </c>
      <c r="D10" s="26">
        <v>43417</v>
      </c>
      <c r="E10" s="26">
        <v>43418</v>
      </c>
      <c r="F10" s="25">
        <v>4</v>
      </c>
      <c r="G10" s="25">
        <v>1</v>
      </c>
      <c r="H10" s="25">
        <v>1.3</v>
      </c>
      <c r="I10" s="26">
        <v>43416</v>
      </c>
      <c r="J10" s="27">
        <v>43417</v>
      </c>
      <c r="K10" s="69" t="s">
        <v>147</v>
      </c>
      <c r="L10" s="20" t="s">
        <v>148</v>
      </c>
      <c r="M10" s="27">
        <v>43417</v>
      </c>
      <c r="N10" s="25" t="s">
        <v>41</v>
      </c>
      <c r="O10" s="25" t="s">
        <v>40</v>
      </c>
      <c r="P10" s="17"/>
      <c r="Q10" s="17"/>
      <c r="R10" s="17"/>
      <c r="S10" s="17"/>
      <c r="T10" s="17"/>
      <c r="U10" s="17"/>
    </row>
    <row r="11" spans="1:21" s="18" customFormat="1" ht="38.25">
      <c r="A11" s="23" t="s">
        <v>60</v>
      </c>
      <c r="B11" s="24" t="s">
        <v>55</v>
      </c>
      <c r="C11" s="25" t="s">
        <v>52</v>
      </c>
      <c r="D11" s="26">
        <v>43418</v>
      </c>
      <c r="E11" s="26">
        <v>43419</v>
      </c>
      <c r="F11" s="25">
        <v>2</v>
      </c>
      <c r="G11" s="25"/>
      <c r="H11" s="25" t="s">
        <v>64</v>
      </c>
      <c r="I11" s="26">
        <f t="shared" ref="I11:I33" si="1">D11</f>
        <v>43418</v>
      </c>
      <c r="J11" s="27">
        <v>43417</v>
      </c>
      <c r="K11" s="69" t="s">
        <v>147</v>
      </c>
      <c r="L11" s="20" t="s">
        <v>148</v>
      </c>
      <c r="M11" s="27">
        <v>43418</v>
      </c>
      <c r="N11" s="25" t="s">
        <v>126</v>
      </c>
      <c r="O11" s="25" t="s">
        <v>40</v>
      </c>
      <c r="P11" s="17"/>
      <c r="Q11" s="17"/>
      <c r="R11" s="17"/>
      <c r="S11" s="17"/>
      <c r="T11" s="17"/>
      <c r="U11" s="17"/>
    </row>
    <row r="12" spans="1:21" s="18" customFormat="1" ht="25.5">
      <c r="A12" s="23" t="s">
        <v>61</v>
      </c>
      <c r="B12" s="24" t="s">
        <v>58</v>
      </c>
      <c r="C12" s="25" t="s">
        <v>59</v>
      </c>
      <c r="D12" s="26">
        <v>43418</v>
      </c>
      <c r="E12" s="26">
        <v>43419</v>
      </c>
      <c r="F12" s="25">
        <v>2</v>
      </c>
      <c r="G12" s="25"/>
      <c r="H12" s="25" t="s">
        <v>64</v>
      </c>
      <c r="I12" s="26">
        <f t="shared" si="1"/>
        <v>43418</v>
      </c>
      <c r="J12" s="27">
        <v>43418</v>
      </c>
      <c r="K12" s="69" t="s">
        <v>147</v>
      </c>
      <c r="L12" s="20"/>
      <c r="M12" s="27">
        <v>43419</v>
      </c>
      <c r="N12" s="25" t="s">
        <v>126</v>
      </c>
      <c r="O12" s="25" t="s">
        <v>40</v>
      </c>
      <c r="P12" s="17"/>
      <c r="Q12" s="17"/>
      <c r="R12" s="17"/>
      <c r="S12" s="17"/>
      <c r="T12" s="17"/>
      <c r="U12" s="17"/>
    </row>
    <row r="13" spans="1:21" s="19" customFormat="1" ht="60">
      <c r="A13" s="51" t="s">
        <v>2</v>
      </c>
      <c r="B13" s="52" t="s">
        <v>14</v>
      </c>
      <c r="C13" s="35" t="s">
        <v>21</v>
      </c>
      <c r="D13" s="36">
        <v>43420</v>
      </c>
      <c r="E13" s="36">
        <v>43434</v>
      </c>
      <c r="F13" s="35">
        <v>40</v>
      </c>
      <c r="G13" s="35">
        <v>7</v>
      </c>
      <c r="H13" s="35">
        <v>1</v>
      </c>
      <c r="I13" s="36">
        <f t="shared" si="1"/>
        <v>43420</v>
      </c>
      <c r="J13" s="37">
        <v>43420</v>
      </c>
      <c r="K13" s="68" t="s">
        <v>147</v>
      </c>
      <c r="L13" s="29"/>
      <c r="M13" s="37">
        <v>43433</v>
      </c>
      <c r="N13" s="35" t="s">
        <v>41</v>
      </c>
      <c r="O13" s="35" t="s">
        <v>40</v>
      </c>
    </row>
    <row r="14" spans="1:21" s="18" customFormat="1" ht="25.5">
      <c r="A14" s="23" t="s">
        <v>39</v>
      </c>
      <c r="B14" s="24" t="s">
        <v>37</v>
      </c>
      <c r="C14" s="25" t="s">
        <v>32</v>
      </c>
      <c r="D14" s="26">
        <v>43420</v>
      </c>
      <c r="E14" s="26">
        <v>43426</v>
      </c>
      <c r="F14" s="25">
        <v>10</v>
      </c>
      <c r="G14" s="25">
        <v>2</v>
      </c>
      <c r="H14" s="25"/>
      <c r="I14" s="26">
        <f t="shared" si="1"/>
        <v>43420</v>
      </c>
      <c r="J14" s="27">
        <v>43420</v>
      </c>
      <c r="K14" s="69" t="s">
        <v>147</v>
      </c>
      <c r="L14" s="17"/>
      <c r="M14" s="27">
        <v>43420</v>
      </c>
      <c r="N14" s="25" t="s">
        <v>41</v>
      </c>
      <c r="O14" s="25" t="s">
        <v>40</v>
      </c>
      <c r="P14" s="17"/>
      <c r="Q14" s="17"/>
      <c r="R14" s="17"/>
      <c r="S14" s="17"/>
      <c r="T14" s="17"/>
      <c r="U14" s="17"/>
    </row>
    <row r="15" spans="1:21" s="18" customFormat="1" ht="25.5">
      <c r="A15" s="23" t="s">
        <v>31</v>
      </c>
      <c r="B15" s="24" t="s">
        <v>38</v>
      </c>
      <c r="C15" s="25" t="s">
        <v>33</v>
      </c>
      <c r="D15" s="26">
        <v>43420</v>
      </c>
      <c r="E15" s="26">
        <v>43424</v>
      </c>
      <c r="F15" s="25">
        <v>10</v>
      </c>
      <c r="G15" s="25">
        <v>2</v>
      </c>
      <c r="H15" s="25">
        <v>2.1</v>
      </c>
      <c r="I15" s="26">
        <f t="shared" si="1"/>
        <v>43420</v>
      </c>
      <c r="J15" s="27">
        <v>43420</v>
      </c>
      <c r="K15" s="69" t="s">
        <v>147</v>
      </c>
      <c r="L15" s="17"/>
      <c r="M15" s="27">
        <v>43420</v>
      </c>
      <c r="N15" s="25" t="s">
        <v>127</v>
      </c>
      <c r="O15" s="25" t="s">
        <v>40</v>
      </c>
      <c r="P15" s="17"/>
      <c r="Q15" s="17"/>
      <c r="R15" s="17"/>
      <c r="S15" s="17"/>
      <c r="T15" s="17"/>
      <c r="U15" s="17"/>
    </row>
    <row r="16" spans="1:21" s="18" customFormat="1" ht="38.25">
      <c r="A16" s="23" t="s">
        <v>100</v>
      </c>
      <c r="B16" s="24" t="s">
        <v>94</v>
      </c>
      <c r="C16" s="25" t="s">
        <v>99</v>
      </c>
      <c r="D16" s="26">
        <v>43420</v>
      </c>
      <c r="E16" s="26">
        <v>43424</v>
      </c>
      <c r="F16" s="25">
        <v>2</v>
      </c>
      <c r="G16" s="25"/>
      <c r="H16" s="25">
        <v>2.1</v>
      </c>
      <c r="I16" s="26">
        <f t="shared" si="1"/>
        <v>43420</v>
      </c>
      <c r="J16" s="27">
        <v>43420</v>
      </c>
      <c r="K16" s="69" t="s">
        <v>147</v>
      </c>
      <c r="L16" s="20" t="s">
        <v>150</v>
      </c>
      <c r="M16" s="27">
        <v>43430</v>
      </c>
      <c r="N16" s="25" t="s">
        <v>40</v>
      </c>
      <c r="O16" s="25" t="s">
        <v>40</v>
      </c>
      <c r="P16" s="17"/>
      <c r="Q16" s="17"/>
      <c r="R16" s="17"/>
      <c r="S16" s="17"/>
      <c r="T16" s="17"/>
      <c r="U16" s="17"/>
    </row>
    <row r="17" spans="1:21" s="18" customFormat="1" ht="25.5">
      <c r="A17" s="23" t="s">
        <v>101</v>
      </c>
      <c r="B17" s="24" t="s">
        <v>95</v>
      </c>
      <c r="C17" s="25" t="s">
        <v>99</v>
      </c>
      <c r="D17" s="26">
        <v>43420</v>
      </c>
      <c r="E17" s="26">
        <v>43425</v>
      </c>
      <c r="F17" s="25">
        <v>2</v>
      </c>
      <c r="G17" s="25"/>
      <c r="H17" s="25">
        <v>2.1</v>
      </c>
      <c r="I17" s="26">
        <f t="shared" si="1"/>
        <v>43420</v>
      </c>
      <c r="J17" s="27">
        <v>43421</v>
      </c>
      <c r="K17" s="69" t="s">
        <v>147</v>
      </c>
      <c r="L17" s="20" t="s">
        <v>149</v>
      </c>
      <c r="M17" s="27">
        <v>43421</v>
      </c>
      <c r="N17" s="25" t="s">
        <v>40</v>
      </c>
      <c r="O17" s="25" t="s">
        <v>40</v>
      </c>
      <c r="P17" s="17"/>
      <c r="Q17" s="17"/>
      <c r="R17" s="17"/>
      <c r="S17" s="17"/>
      <c r="T17" s="17"/>
      <c r="U17" s="17"/>
    </row>
    <row r="18" spans="1:21" s="18" customFormat="1" ht="25.5">
      <c r="A18" s="23" t="s">
        <v>102</v>
      </c>
      <c r="B18" s="24" t="s">
        <v>96</v>
      </c>
      <c r="C18" s="25" t="s">
        <v>99</v>
      </c>
      <c r="D18" s="26">
        <v>43420</v>
      </c>
      <c r="E18" s="26">
        <v>43425</v>
      </c>
      <c r="F18" s="25">
        <v>2</v>
      </c>
      <c r="G18" s="25"/>
      <c r="H18" s="25">
        <v>2.1</v>
      </c>
      <c r="I18" s="26">
        <f t="shared" si="1"/>
        <v>43420</v>
      </c>
      <c r="J18" s="27">
        <v>43420</v>
      </c>
      <c r="K18" s="69" t="s">
        <v>147</v>
      </c>
      <c r="L18" s="20"/>
      <c r="M18" s="27">
        <v>43420</v>
      </c>
      <c r="N18" s="25" t="s">
        <v>40</v>
      </c>
      <c r="O18" s="25" t="s">
        <v>40</v>
      </c>
      <c r="P18" s="17"/>
      <c r="Q18" s="17"/>
      <c r="R18" s="17"/>
      <c r="S18" s="17"/>
      <c r="T18" s="17"/>
      <c r="U18" s="17"/>
    </row>
    <row r="19" spans="1:21" s="18" customFormat="1" ht="25.5">
      <c r="A19" s="23" t="s">
        <v>103</v>
      </c>
      <c r="B19" s="24" t="s">
        <v>97</v>
      </c>
      <c r="C19" s="25" t="s">
        <v>99</v>
      </c>
      <c r="D19" s="26">
        <v>43420</v>
      </c>
      <c r="E19" s="26">
        <v>43425</v>
      </c>
      <c r="F19" s="25">
        <v>1</v>
      </c>
      <c r="G19" s="25"/>
      <c r="H19" s="25">
        <v>2.1</v>
      </c>
      <c r="I19" s="26">
        <f t="shared" si="1"/>
        <v>43420</v>
      </c>
      <c r="J19" s="27">
        <v>43423</v>
      </c>
      <c r="K19" s="69" t="s">
        <v>147</v>
      </c>
      <c r="L19" s="20" t="s">
        <v>149</v>
      </c>
      <c r="M19" s="27">
        <v>43423</v>
      </c>
      <c r="N19" s="25" t="s">
        <v>40</v>
      </c>
      <c r="O19" s="25" t="s">
        <v>40</v>
      </c>
      <c r="P19" s="17"/>
      <c r="Q19" s="17"/>
      <c r="R19" s="17"/>
      <c r="S19" s="17"/>
      <c r="T19" s="17"/>
      <c r="U19" s="17"/>
    </row>
    <row r="20" spans="1:21" s="18" customFormat="1" ht="25.5">
      <c r="A20" s="23" t="s">
        <v>104</v>
      </c>
      <c r="B20" s="24" t="s">
        <v>152</v>
      </c>
      <c r="C20" s="25" t="s">
        <v>99</v>
      </c>
      <c r="D20" s="26">
        <v>43420</v>
      </c>
      <c r="E20" s="26">
        <v>43426</v>
      </c>
      <c r="F20" s="25">
        <v>1</v>
      </c>
      <c r="G20" s="25"/>
      <c r="H20" s="25">
        <v>2.1</v>
      </c>
      <c r="I20" s="26">
        <f t="shared" si="1"/>
        <v>43420</v>
      </c>
      <c r="J20" s="27">
        <v>43420</v>
      </c>
      <c r="K20" s="69" t="s">
        <v>147</v>
      </c>
      <c r="L20" s="20"/>
      <c r="M20" s="27">
        <v>43420</v>
      </c>
      <c r="N20" s="25" t="s">
        <v>40</v>
      </c>
      <c r="O20" s="25" t="s">
        <v>40</v>
      </c>
      <c r="P20" s="17"/>
      <c r="Q20" s="17"/>
      <c r="R20" s="17"/>
      <c r="S20" s="17"/>
      <c r="T20" s="17"/>
      <c r="U20" s="17"/>
    </row>
    <row r="21" spans="1:21" s="18" customFormat="1" ht="25.5">
      <c r="A21" s="23" t="s">
        <v>105</v>
      </c>
      <c r="B21" s="24" t="s">
        <v>98</v>
      </c>
      <c r="C21" s="25" t="s">
        <v>99</v>
      </c>
      <c r="D21" s="26">
        <v>43420</v>
      </c>
      <c r="E21" s="26">
        <v>43426</v>
      </c>
      <c r="F21" s="25">
        <v>1</v>
      </c>
      <c r="G21" s="25"/>
      <c r="H21" s="25">
        <v>2.1</v>
      </c>
      <c r="I21" s="26">
        <f t="shared" si="1"/>
        <v>43420</v>
      </c>
      <c r="J21" s="27">
        <v>43422</v>
      </c>
      <c r="K21" s="69" t="s">
        <v>147</v>
      </c>
      <c r="L21" s="20" t="s">
        <v>149</v>
      </c>
      <c r="M21" s="27">
        <v>43423</v>
      </c>
      <c r="N21" s="25" t="s">
        <v>40</v>
      </c>
      <c r="O21" s="25" t="s">
        <v>40</v>
      </c>
      <c r="P21" s="17"/>
      <c r="Q21" s="17"/>
      <c r="R21" s="17"/>
      <c r="S21" s="17"/>
      <c r="T21" s="17"/>
      <c r="U21" s="17"/>
    </row>
    <row r="22" spans="1:21" s="18" customFormat="1" ht="25.5">
      <c r="A22" s="23" t="s">
        <v>134</v>
      </c>
      <c r="B22" s="24" t="s">
        <v>135</v>
      </c>
      <c r="C22" s="25" t="s">
        <v>99</v>
      </c>
      <c r="D22" s="26">
        <v>43421</v>
      </c>
      <c r="E22" s="26">
        <v>43426</v>
      </c>
      <c r="F22" s="25">
        <v>1</v>
      </c>
      <c r="G22" s="25"/>
      <c r="H22" s="25">
        <v>2.1</v>
      </c>
      <c r="I22" s="26">
        <f t="shared" si="1"/>
        <v>43421</v>
      </c>
      <c r="J22" s="27">
        <v>43423</v>
      </c>
      <c r="K22" s="69" t="s">
        <v>147</v>
      </c>
      <c r="L22" s="20" t="s">
        <v>149</v>
      </c>
      <c r="M22" s="27">
        <v>43423</v>
      </c>
      <c r="N22" s="25" t="s">
        <v>40</v>
      </c>
      <c r="O22" s="25" t="s">
        <v>40</v>
      </c>
      <c r="P22" s="17"/>
      <c r="Q22" s="17"/>
      <c r="R22" s="17"/>
      <c r="S22" s="17"/>
      <c r="T22" s="17"/>
      <c r="U22" s="17"/>
    </row>
    <row r="23" spans="1:21" s="18" customFormat="1">
      <c r="A23" s="23" t="s">
        <v>80</v>
      </c>
      <c r="B23" s="24" t="s">
        <v>81</v>
      </c>
      <c r="C23" s="25" t="s">
        <v>82</v>
      </c>
      <c r="D23" s="26">
        <v>43424</v>
      </c>
      <c r="E23" s="26">
        <v>43427</v>
      </c>
      <c r="F23" s="25">
        <v>20</v>
      </c>
      <c r="G23" s="25">
        <v>3</v>
      </c>
      <c r="H23" s="25">
        <v>2.2000000000000002</v>
      </c>
      <c r="I23" s="26">
        <f t="shared" si="1"/>
        <v>43424</v>
      </c>
      <c r="J23" s="27">
        <v>43421</v>
      </c>
      <c r="K23" s="69" t="s">
        <v>147</v>
      </c>
      <c r="L23" s="20"/>
      <c r="M23" s="27">
        <v>43432</v>
      </c>
      <c r="N23" s="25" t="s">
        <v>41</v>
      </c>
      <c r="O23" s="25" t="s">
        <v>40</v>
      </c>
      <c r="P23" s="17"/>
      <c r="Q23" s="17"/>
      <c r="R23" s="17"/>
      <c r="S23" s="17"/>
      <c r="T23" s="17"/>
      <c r="U23" s="17"/>
    </row>
    <row r="24" spans="1:21" s="18" customFormat="1" ht="38.25">
      <c r="A24" s="23" t="s">
        <v>106</v>
      </c>
      <c r="B24" s="24" t="s">
        <v>112</v>
      </c>
      <c r="C24" s="25" t="s">
        <v>120</v>
      </c>
      <c r="D24" s="26">
        <v>43426</v>
      </c>
      <c r="E24" s="26">
        <v>43430</v>
      </c>
      <c r="F24" s="25">
        <v>6</v>
      </c>
      <c r="G24" s="25">
        <v>1</v>
      </c>
      <c r="H24" s="25">
        <v>2.2000000000000002</v>
      </c>
      <c r="I24" s="26">
        <f t="shared" si="1"/>
        <v>43426</v>
      </c>
      <c r="J24" s="27">
        <v>43431</v>
      </c>
      <c r="K24" s="69" t="s">
        <v>147</v>
      </c>
      <c r="L24" s="20" t="s">
        <v>151</v>
      </c>
      <c r="M24" s="27">
        <v>43432</v>
      </c>
      <c r="N24" s="25" t="s">
        <v>41</v>
      </c>
      <c r="O24" s="25" t="s">
        <v>40</v>
      </c>
      <c r="P24" s="17"/>
      <c r="Q24" s="17"/>
      <c r="R24" s="17"/>
      <c r="S24" s="17"/>
      <c r="T24" s="17"/>
      <c r="U24" s="17"/>
    </row>
    <row r="25" spans="1:21" s="18" customFormat="1" ht="25.5">
      <c r="A25" s="23" t="s">
        <v>107</v>
      </c>
      <c r="B25" s="24" t="s">
        <v>113</v>
      </c>
      <c r="C25" s="25" t="s">
        <v>121</v>
      </c>
      <c r="D25" s="26">
        <v>43426</v>
      </c>
      <c r="E25" s="26">
        <v>43432</v>
      </c>
      <c r="F25" s="25">
        <v>6</v>
      </c>
      <c r="G25" s="25">
        <v>1</v>
      </c>
      <c r="H25" s="25">
        <v>2.2000000000000002</v>
      </c>
      <c r="I25" s="26">
        <f t="shared" si="1"/>
        <v>43426</v>
      </c>
      <c r="J25" s="27">
        <v>43423</v>
      </c>
      <c r="K25" s="69" t="s">
        <v>147</v>
      </c>
      <c r="L25" s="17"/>
      <c r="M25" s="27">
        <v>43424</v>
      </c>
      <c r="N25" s="25" t="s">
        <v>41</v>
      </c>
      <c r="O25" s="25" t="s">
        <v>40</v>
      </c>
      <c r="P25" s="17"/>
      <c r="Q25" s="17"/>
      <c r="R25" s="17"/>
      <c r="S25" s="17"/>
      <c r="T25" s="17"/>
      <c r="U25" s="17"/>
    </row>
    <row r="26" spans="1:21" s="18" customFormat="1" ht="25.5">
      <c r="A26" s="23" t="s">
        <v>108</v>
      </c>
      <c r="B26" s="24" t="s">
        <v>114</v>
      </c>
      <c r="C26" s="25" t="s">
        <v>122</v>
      </c>
      <c r="D26" s="26">
        <v>43427</v>
      </c>
      <c r="E26" s="26">
        <v>43430</v>
      </c>
      <c r="F26" s="25">
        <v>3</v>
      </c>
      <c r="G26" s="25">
        <v>1</v>
      </c>
      <c r="H26" s="25">
        <v>2.2000000000000002</v>
      </c>
      <c r="I26" s="26">
        <f t="shared" si="1"/>
        <v>43427</v>
      </c>
      <c r="J26" s="27">
        <v>43423</v>
      </c>
      <c r="K26" s="69" t="s">
        <v>147</v>
      </c>
      <c r="L26" s="17"/>
      <c r="M26" s="27">
        <v>43423</v>
      </c>
      <c r="N26" s="25" t="s">
        <v>41</v>
      </c>
      <c r="O26" s="25" t="s">
        <v>40</v>
      </c>
      <c r="P26" s="17"/>
      <c r="Q26" s="17"/>
      <c r="R26" s="17"/>
      <c r="S26" s="17"/>
      <c r="T26" s="17"/>
      <c r="U26" s="17"/>
    </row>
    <row r="27" spans="1:21" s="18" customFormat="1" ht="25.5">
      <c r="A27" s="23" t="s">
        <v>109</v>
      </c>
      <c r="B27" s="24" t="s">
        <v>115</v>
      </c>
      <c r="C27" s="25" t="s">
        <v>123</v>
      </c>
      <c r="D27" s="26">
        <v>43427</v>
      </c>
      <c r="E27" s="26">
        <v>43430</v>
      </c>
      <c r="F27" s="25">
        <v>3</v>
      </c>
      <c r="G27" s="25">
        <v>1</v>
      </c>
      <c r="H27" s="25">
        <v>2.2000000000000002</v>
      </c>
      <c r="I27" s="26">
        <f t="shared" si="1"/>
        <v>43427</v>
      </c>
      <c r="J27" s="27">
        <v>43424</v>
      </c>
      <c r="K27" s="69" t="s">
        <v>147</v>
      </c>
      <c r="L27" s="17"/>
      <c r="M27" s="27">
        <v>43424</v>
      </c>
      <c r="N27" s="25" t="s">
        <v>41</v>
      </c>
      <c r="O27" s="25" t="s">
        <v>40</v>
      </c>
      <c r="P27" s="17"/>
      <c r="Q27" s="17"/>
      <c r="R27" s="17"/>
      <c r="S27" s="17"/>
      <c r="T27" s="17"/>
      <c r="U27" s="17"/>
    </row>
    <row r="28" spans="1:21" s="18" customFormat="1">
      <c r="A28" s="23" t="s">
        <v>110</v>
      </c>
      <c r="B28" s="24" t="s">
        <v>153</v>
      </c>
      <c r="C28" s="25" t="s">
        <v>154</v>
      </c>
      <c r="D28" s="26">
        <v>43427</v>
      </c>
      <c r="E28" s="26">
        <v>43430</v>
      </c>
      <c r="F28" s="25">
        <v>3</v>
      </c>
      <c r="G28" s="25">
        <v>1</v>
      </c>
      <c r="H28" s="25">
        <v>2.2000000000000002</v>
      </c>
      <c r="I28" s="26">
        <f t="shared" si="1"/>
        <v>43427</v>
      </c>
      <c r="J28" s="27">
        <v>43423</v>
      </c>
      <c r="K28" s="69" t="s">
        <v>147</v>
      </c>
      <c r="L28" s="17"/>
      <c r="M28" s="27">
        <v>43423</v>
      </c>
      <c r="N28" s="25" t="s">
        <v>41</v>
      </c>
      <c r="O28" s="25" t="s">
        <v>40</v>
      </c>
      <c r="P28" s="17"/>
      <c r="Q28" s="17"/>
      <c r="R28" s="17"/>
      <c r="S28" s="17"/>
      <c r="T28" s="17"/>
      <c r="U28" s="17"/>
    </row>
    <row r="29" spans="1:21" s="18" customFormat="1" ht="38.25">
      <c r="A29" s="23" t="s">
        <v>111</v>
      </c>
      <c r="B29" s="24" t="s">
        <v>116</v>
      </c>
      <c r="C29" s="25" t="s">
        <v>124</v>
      </c>
      <c r="D29" s="26">
        <v>43430</v>
      </c>
      <c r="E29" s="26">
        <v>43432</v>
      </c>
      <c r="F29" s="25">
        <v>6</v>
      </c>
      <c r="G29" s="25">
        <v>1</v>
      </c>
      <c r="H29" s="25">
        <v>2.2000000000000002</v>
      </c>
      <c r="I29" s="26">
        <f t="shared" si="1"/>
        <v>43430</v>
      </c>
      <c r="J29" s="27">
        <v>43424</v>
      </c>
      <c r="K29" s="69" t="s">
        <v>147</v>
      </c>
      <c r="L29" s="17"/>
      <c r="M29" s="27">
        <v>43431</v>
      </c>
      <c r="N29" s="25" t="s">
        <v>41</v>
      </c>
      <c r="O29" s="25" t="s">
        <v>40</v>
      </c>
      <c r="P29" s="17"/>
      <c r="Q29" s="17"/>
      <c r="R29" s="17"/>
      <c r="S29" s="17"/>
      <c r="T29" s="17"/>
      <c r="U29" s="17"/>
    </row>
    <row r="30" spans="1:21" s="18" customFormat="1">
      <c r="A30" s="23" t="s">
        <v>136</v>
      </c>
      <c r="B30" s="24" t="s">
        <v>137</v>
      </c>
      <c r="C30" s="25" t="s">
        <v>138</v>
      </c>
      <c r="D30" s="26">
        <v>43430</v>
      </c>
      <c r="E30" s="26">
        <v>43432</v>
      </c>
      <c r="F30" s="25">
        <v>6</v>
      </c>
      <c r="G30" s="25">
        <v>1</v>
      </c>
      <c r="H30" s="25">
        <v>2.2000000000000002</v>
      </c>
      <c r="I30" s="26">
        <f t="shared" si="1"/>
        <v>43430</v>
      </c>
      <c r="J30" s="27">
        <v>43425</v>
      </c>
      <c r="K30" s="69" t="s">
        <v>147</v>
      </c>
      <c r="L30" s="17"/>
      <c r="M30" s="27">
        <v>43427</v>
      </c>
      <c r="N30" s="25" t="s">
        <v>126</v>
      </c>
      <c r="O30" s="25" t="s">
        <v>40</v>
      </c>
      <c r="P30" s="17"/>
      <c r="Q30" s="17"/>
      <c r="R30" s="17"/>
      <c r="S30" s="17"/>
      <c r="T30" s="17"/>
      <c r="U30" s="17"/>
    </row>
    <row r="31" spans="1:21" s="16" customFormat="1" ht="25.5">
      <c r="A31" s="23" t="s">
        <v>117</v>
      </c>
      <c r="B31" s="24" t="s">
        <v>118</v>
      </c>
      <c r="C31" s="25" t="s">
        <v>119</v>
      </c>
      <c r="D31" s="26">
        <v>43432</v>
      </c>
      <c r="E31" s="26">
        <v>43434</v>
      </c>
      <c r="F31" s="25">
        <v>10</v>
      </c>
      <c r="G31" s="25">
        <v>2</v>
      </c>
      <c r="H31" s="25" t="s">
        <v>125</v>
      </c>
      <c r="I31" s="26">
        <f t="shared" si="1"/>
        <v>43432</v>
      </c>
      <c r="J31" s="27">
        <v>43430</v>
      </c>
      <c r="K31" s="69" t="s">
        <v>147</v>
      </c>
      <c r="L31" s="25"/>
      <c r="M31" s="27">
        <v>43433</v>
      </c>
      <c r="N31" s="25" t="s">
        <v>126</v>
      </c>
      <c r="O31" s="25" t="s">
        <v>40</v>
      </c>
      <c r="P31" s="15"/>
      <c r="Q31" s="15"/>
      <c r="R31" s="15"/>
      <c r="S31" s="15"/>
      <c r="T31" s="15"/>
      <c r="U31" s="15"/>
    </row>
    <row r="32" spans="1:21" s="16" customFormat="1" ht="25.5">
      <c r="A32" s="23" t="s">
        <v>128</v>
      </c>
      <c r="B32" s="24" t="s">
        <v>130</v>
      </c>
      <c r="C32" s="25" t="s">
        <v>132</v>
      </c>
      <c r="D32" s="26">
        <v>43432</v>
      </c>
      <c r="E32" s="26">
        <v>43433</v>
      </c>
      <c r="F32" s="25">
        <v>6</v>
      </c>
      <c r="G32" s="25">
        <v>1</v>
      </c>
      <c r="H32" s="25" t="s">
        <v>125</v>
      </c>
      <c r="I32" s="26">
        <f t="shared" si="1"/>
        <v>43432</v>
      </c>
      <c r="J32" s="27">
        <v>43430</v>
      </c>
      <c r="K32" s="69" t="s">
        <v>147</v>
      </c>
      <c r="L32" s="25"/>
      <c r="M32" s="27">
        <v>43433</v>
      </c>
      <c r="N32" s="25" t="s">
        <v>126</v>
      </c>
      <c r="O32" s="25" t="s">
        <v>40</v>
      </c>
      <c r="P32" s="15"/>
      <c r="Q32" s="15"/>
      <c r="R32" s="15"/>
      <c r="S32" s="15"/>
      <c r="T32" s="15"/>
      <c r="U32" s="15"/>
    </row>
    <row r="33" spans="1:21" s="16" customFormat="1" ht="25.5">
      <c r="A33" s="23" t="s">
        <v>129</v>
      </c>
      <c r="B33" s="24" t="s">
        <v>131</v>
      </c>
      <c r="C33" s="25" t="s">
        <v>133</v>
      </c>
      <c r="D33" s="26">
        <v>43432</v>
      </c>
      <c r="E33" s="26">
        <v>43433</v>
      </c>
      <c r="F33" s="25">
        <v>4</v>
      </c>
      <c r="G33" s="25">
        <v>1</v>
      </c>
      <c r="H33" s="25" t="s">
        <v>125</v>
      </c>
      <c r="I33" s="26">
        <f t="shared" si="1"/>
        <v>43432</v>
      </c>
      <c r="J33" s="27">
        <v>43430</v>
      </c>
      <c r="K33" s="69" t="s">
        <v>147</v>
      </c>
      <c r="L33" s="25"/>
      <c r="M33" s="27">
        <v>43433</v>
      </c>
      <c r="N33" s="25" t="s">
        <v>126</v>
      </c>
      <c r="O33" s="25" t="s">
        <v>40</v>
      </c>
      <c r="P33" s="15"/>
      <c r="Q33" s="15"/>
      <c r="R33" s="15"/>
      <c r="S33" s="15"/>
      <c r="T33" s="15"/>
      <c r="U33" s="15"/>
    </row>
    <row r="34" spans="1:21" s="7" customFormat="1" ht="45">
      <c r="A34" s="51" t="s">
        <v>3</v>
      </c>
      <c r="B34" s="52" t="s">
        <v>15</v>
      </c>
      <c r="C34" s="7" t="s">
        <v>22</v>
      </c>
      <c r="D34" s="8">
        <v>43411</v>
      </c>
      <c r="E34" s="11">
        <v>43446</v>
      </c>
      <c r="F34" s="7">
        <v>134</v>
      </c>
      <c r="G34" s="7">
        <v>26</v>
      </c>
      <c r="H34" s="7">
        <v>1</v>
      </c>
      <c r="I34" s="8">
        <f t="shared" ref="I34:I69" si="2">D34</f>
        <v>43411</v>
      </c>
      <c r="J34" s="13">
        <v>43416</v>
      </c>
      <c r="K34" s="70" t="s">
        <v>147</v>
      </c>
      <c r="M34" s="13">
        <v>43451</v>
      </c>
      <c r="N34" s="7" t="s">
        <v>42</v>
      </c>
      <c r="O34" s="7" t="s">
        <v>40</v>
      </c>
    </row>
    <row r="35" spans="1:21" s="22" customFormat="1" ht="38.25">
      <c r="A35" s="23" t="s">
        <v>65</v>
      </c>
      <c r="B35" s="24" t="s">
        <v>70</v>
      </c>
      <c r="C35" s="25" t="s">
        <v>84</v>
      </c>
      <c r="D35" s="26">
        <v>43411</v>
      </c>
      <c r="E35" s="26">
        <v>43432</v>
      </c>
      <c r="F35" s="25">
        <v>80</v>
      </c>
      <c r="G35" s="25">
        <v>12</v>
      </c>
      <c r="H35" s="25"/>
      <c r="I35" s="30">
        <f t="shared" si="2"/>
        <v>43411</v>
      </c>
      <c r="J35" s="31">
        <v>43416</v>
      </c>
      <c r="K35" s="71" t="s">
        <v>147</v>
      </c>
      <c r="L35" s="21" t="s">
        <v>145</v>
      </c>
      <c r="M35" s="31">
        <v>43433</v>
      </c>
      <c r="N35" s="32" t="s">
        <v>42</v>
      </c>
      <c r="O35" s="32" t="s">
        <v>40</v>
      </c>
      <c r="P35" s="20"/>
      <c r="Q35" s="20"/>
      <c r="R35" s="20"/>
      <c r="S35" s="20"/>
      <c r="T35" s="20"/>
      <c r="U35" s="20"/>
    </row>
    <row r="36" spans="1:21" s="22" customFormat="1" ht="25.5">
      <c r="A36" s="23" t="s">
        <v>66</v>
      </c>
      <c r="B36" s="24" t="s">
        <v>72</v>
      </c>
      <c r="C36" s="25" t="s">
        <v>85</v>
      </c>
      <c r="D36" s="26">
        <v>43433</v>
      </c>
      <c r="E36" s="26">
        <v>43437</v>
      </c>
      <c r="F36" s="25">
        <v>8</v>
      </c>
      <c r="G36" s="25">
        <v>2</v>
      </c>
      <c r="H36" s="25">
        <v>3.1</v>
      </c>
      <c r="I36" s="30">
        <f t="shared" si="2"/>
        <v>43433</v>
      </c>
      <c r="J36" s="31">
        <v>43434</v>
      </c>
      <c r="K36" s="71" t="s">
        <v>147</v>
      </c>
      <c r="L36" s="21" t="s">
        <v>146</v>
      </c>
      <c r="M36" s="31">
        <v>43437</v>
      </c>
      <c r="N36" s="32" t="s">
        <v>42</v>
      </c>
      <c r="O36" s="32" t="s">
        <v>40</v>
      </c>
      <c r="P36" s="20"/>
      <c r="Q36" s="20"/>
      <c r="R36" s="20"/>
      <c r="S36" s="20"/>
      <c r="T36" s="20"/>
      <c r="U36" s="20"/>
    </row>
    <row r="37" spans="1:21" s="22" customFormat="1" ht="25.5">
      <c r="A37" s="23" t="s">
        <v>67</v>
      </c>
      <c r="B37" s="24" t="s">
        <v>86</v>
      </c>
      <c r="C37" s="25" t="s">
        <v>89</v>
      </c>
      <c r="D37" s="26">
        <v>43437</v>
      </c>
      <c r="E37" s="26">
        <v>43438</v>
      </c>
      <c r="F37" s="25">
        <v>4</v>
      </c>
      <c r="G37" s="25">
        <v>1</v>
      </c>
      <c r="H37" s="25">
        <v>3.1</v>
      </c>
      <c r="I37" s="30">
        <f t="shared" si="2"/>
        <v>43437</v>
      </c>
      <c r="J37" s="31">
        <v>43434</v>
      </c>
      <c r="K37" s="71" t="s">
        <v>147</v>
      </c>
      <c r="L37" s="21" t="s">
        <v>146</v>
      </c>
      <c r="M37" s="31">
        <v>43437</v>
      </c>
      <c r="N37" s="32" t="s">
        <v>42</v>
      </c>
      <c r="O37" s="32" t="s">
        <v>40</v>
      </c>
      <c r="P37" s="20"/>
      <c r="Q37" s="20"/>
      <c r="R37" s="20"/>
      <c r="S37" s="20"/>
      <c r="T37" s="20"/>
      <c r="U37" s="20"/>
    </row>
    <row r="38" spans="1:21" s="22" customFormat="1" ht="25.5">
      <c r="A38" s="23" t="s">
        <v>68</v>
      </c>
      <c r="B38" s="24" t="s">
        <v>71</v>
      </c>
      <c r="C38" s="25" t="s">
        <v>90</v>
      </c>
      <c r="D38" s="26">
        <v>43439</v>
      </c>
      <c r="E38" s="26">
        <v>43441</v>
      </c>
      <c r="F38" s="25">
        <v>4</v>
      </c>
      <c r="G38" s="25">
        <v>1</v>
      </c>
      <c r="H38" s="25">
        <v>3.1</v>
      </c>
      <c r="I38" s="30">
        <f t="shared" si="2"/>
        <v>43439</v>
      </c>
      <c r="J38" s="31">
        <v>43438</v>
      </c>
      <c r="K38" s="71" t="s">
        <v>147</v>
      </c>
      <c r="L38" s="21" t="s">
        <v>146</v>
      </c>
      <c r="M38" s="31">
        <v>43439</v>
      </c>
      <c r="N38" s="32" t="s">
        <v>42</v>
      </c>
      <c r="O38" s="32" t="s">
        <v>40</v>
      </c>
      <c r="P38" s="20"/>
      <c r="Q38" s="20"/>
      <c r="R38" s="20"/>
      <c r="S38" s="20"/>
      <c r="T38" s="20"/>
      <c r="U38" s="20"/>
    </row>
    <row r="39" spans="1:21" s="22" customFormat="1" ht="25.5">
      <c r="A39" s="23" t="s">
        <v>69</v>
      </c>
      <c r="B39" s="24" t="s">
        <v>73</v>
      </c>
      <c r="C39" s="25" t="s">
        <v>91</v>
      </c>
      <c r="D39" s="26">
        <v>43439</v>
      </c>
      <c r="E39" s="26">
        <v>43441</v>
      </c>
      <c r="F39" s="25">
        <v>10</v>
      </c>
      <c r="G39" s="25">
        <v>2</v>
      </c>
      <c r="H39" s="25">
        <v>3.1</v>
      </c>
      <c r="I39" s="30">
        <f t="shared" si="2"/>
        <v>43439</v>
      </c>
      <c r="J39" s="31">
        <v>43439</v>
      </c>
      <c r="K39" s="71" t="s">
        <v>147</v>
      </c>
      <c r="L39" s="21" t="s">
        <v>146</v>
      </c>
      <c r="M39" s="31">
        <v>43440</v>
      </c>
      <c r="N39" s="32" t="s">
        <v>42</v>
      </c>
      <c r="O39" s="32" t="s">
        <v>40</v>
      </c>
      <c r="P39" s="20"/>
      <c r="Q39" s="20"/>
      <c r="R39" s="20"/>
      <c r="S39" s="20"/>
      <c r="T39" s="20"/>
      <c r="U39" s="20"/>
    </row>
    <row r="40" spans="1:21" ht="38.25" customHeight="1">
      <c r="A40" s="23" t="s">
        <v>74</v>
      </c>
      <c r="B40" s="24" t="s">
        <v>157</v>
      </c>
      <c r="C40" s="2" t="s">
        <v>237</v>
      </c>
      <c r="D40" s="6">
        <v>43444</v>
      </c>
      <c r="E40" s="6">
        <v>43446</v>
      </c>
      <c r="F40" s="2">
        <v>10</v>
      </c>
      <c r="G40" s="2">
        <v>2</v>
      </c>
      <c r="H40" s="2" t="s">
        <v>88</v>
      </c>
      <c r="I40" s="28">
        <f t="shared" si="2"/>
        <v>43444</v>
      </c>
      <c r="J40" s="14">
        <v>43441</v>
      </c>
      <c r="K40" s="71" t="s">
        <v>147</v>
      </c>
      <c r="L40" s="12"/>
      <c r="M40" s="31">
        <v>43444</v>
      </c>
      <c r="N40" s="32" t="s">
        <v>42</v>
      </c>
      <c r="O40" s="32" t="s">
        <v>40</v>
      </c>
    </row>
    <row r="41" spans="1:21" ht="38.25" customHeight="1">
      <c r="A41" s="23" t="s">
        <v>155</v>
      </c>
      <c r="B41" s="24" t="s">
        <v>156</v>
      </c>
      <c r="C41" s="2" t="s">
        <v>158</v>
      </c>
      <c r="D41" s="6">
        <v>43444</v>
      </c>
      <c r="E41" s="6">
        <v>43446</v>
      </c>
      <c r="F41" s="2">
        <v>2</v>
      </c>
      <c r="H41" s="2" t="s">
        <v>189</v>
      </c>
      <c r="I41" s="28">
        <f t="shared" si="2"/>
        <v>43444</v>
      </c>
      <c r="J41" s="14">
        <v>43444</v>
      </c>
      <c r="K41" s="71" t="s">
        <v>147</v>
      </c>
      <c r="L41" s="12"/>
      <c r="M41" s="31">
        <v>43444</v>
      </c>
      <c r="N41" s="32" t="s">
        <v>42</v>
      </c>
      <c r="O41" s="32" t="s">
        <v>40</v>
      </c>
    </row>
    <row r="42" spans="1:21" ht="38.25" customHeight="1">
      <c r="A42" s="23" t="s">
        <v>159</v>
      </c>
      <c r="B42" s="24" t="s">
        <v>160</v>
      </c>
      <c r="C42" s="2" t="s">
        <v>161</v>
      </c>
      <c r="D42" s="6">
        <v>43444</v>
      </c>
      <c r="E42" s="6">
        <v>43446</v>
      </c>
      <c r="F42" s="2">
        <v>1</v>
      </c>
      <c r="H42" s="2" t="s">
        <v>190</v>
      </c>
      <c r="I42" s="28">
        <f t="shared" si="2"/>
        <v>43444</v>
      </c>
      <c r="J42" s="14">
        <v>43445</v>
      </c>
      <c r="K42" s="71" t="s">
        <v>147</v>
      </c>
      <c r="L42" s="12"/>
      <c r="M42" s="31">
        <v>43445</v>
      </c>
      <c r="N42" s="32" t="s">
        <v>42</v>
      </c>
      <c r="O42" s="32" t="s">
        <v>40</v>
      </c>
    </row>
    <row r="43" spans="1:21" ht="38.25" customHeight="1">
      <c r="A43" s="23" t="s">
        <v>162</v>
      </c>
      <c r="B43" s="24" t="s">
        <v>163</v>
      </c>
      <c r="C43" s="2" t="s">
        <v>164</v>
      </c>
      <c r="D43" s="6">
        <v>43445</v>
      </c>
      <c r="E43" s="6">
        <v>43446</v>
      </c>
      <c r="F43" s="2">
        <v>1</v>
      </c>
      <c r="H43" s="2" t="s">
        <v>191</v>
      </c>
      <c r="I43" s="28">
        <f t="shared" si="2"/>
        <v>43445</v>
      </c>
      <c r="J43" s="14">
        <v>43445</v>
      </c>
      <c r="K43" s="71" t="s">
        <v>147</v>
      </c>
      <c r="L43" s="12"/>
      <c r="M43" s="31">
        <v>43445</v>
      </c>
      <c r="N43" s="32" t="s">
        <v>42</v>
      </c>
      <c r="O43" s="32" t="s">
        <v>40</v>
      </c>
    </row>
    <row r="44" spans="1:21" ht="25.5">
      <c r="A44" s="23" t="s">
        <v>87</v>
      </c>
      <c r="B44" s="24" t="s">
        <v>83</v>
      </c>
      <c r="C44" s="2" t="s">
        <v>92</v>
      </c>
      <c r="D44" s="6">
        <v>43446</v>
      </c>
      <c r="E44" s="6">
        <v>43453</v>
      </c>
      <c r="F44" s="2">
        <v>20</v>
      </c>
      <c r="G44" s="2">
        <v>5</v>
      </c>
      <c r="H44" s="2">
        <v>3.6</v>
      </c>
      <c r="I44" s="28">
        <f t="shared" si="2"/>
        <v>43446</v>
      </c>
      <c r="J44" s="14">
        <v>43446</v>
      </c>
      <c r="K44" s="71" t="s">
        <v>147</v>
      </c>
      <c r="L44" s="12"/>
      <c r="M44" s="31">
        <v>43446</v>
      </c>
      <c r="N44" s="32" t="s">
        <v>42</v>
      </c>
      <c r="O44" s="32" t="s">
        <v>40</v>
      </c>
    </row>
    <row r="45" spans="1:21" ht="25.5">
      <c r="A45" s="23" t="s">
        <v>165</v>
      </c>
      <c r="B45" s="24" t="s">
        <v>177</v>
      </c>
      <c r="C45" s="2" t="s">
        <v>184</v>
      </c>
      <c r="D45" s="6">
        <v>43446</v>
      </c>
      <c r="E45" s="6">
        <v>43453</v>
      </c>
      <c r="F45" s="2">
        <v>8</v>
      </c>
      <c r="G45" s="2">
        <v>1</v>
      </c>
      <c r="H45" s="2">
        <v>3.6</v>
      </c>
      <c r="I45" s="28">
        <f t="shared" si="2"/>
        <v>43446</v>
      </c>
      <c r="J45" s="14">
        <v>43446</v>
      </c>
      <c r="K45" s="71" t="s">
        <v>147</v>
      </c>
      <c r="L45" s="12"/>
      <c r="M45" s="31">
        <v>43446</v>
      </c>
      <c r="N45" s="32" t="s">
        <v>42</v>
      </c>
      <c r="O45" s="32" t="s">
        <v>40</v>
      </c>
    </row>
    <row r="46" spans="1:21" ht="25.5">
      <c r="A46" s="23" t="s">
        <v>167</v>
      </c>
      <c r="B46" s="24" t="s">
        <v>166</v>
      </c>
      <c r="C46" s="2" t="s">
        <v>171</v>
      </c>
      <c r="D46" s="6">
        <v>43446</v>
      </c>
      <c r="E46" s="6">
        <v>43448</v>
      </c>
      <c r="F46" s="2">
        <v>2</v>
      </c>
      <c r="H46" s="2">
        <v>3.6</v>
      </c>
      <c r="I46" s="28">
        <f t="shared" si="2"/>
        <v>43446</v>
      </c>
      <c r="J46" s="14">
        <v>43446</v>
      </c>
      <c r="K46" s="71" t="s">
        <v>147</v>
      </c>
      <c r="L46" s="12"/>
      <c r="M46" s="31">
        <v>43446</v>
      </c>
      <c r="N46" s="32" t="s">
        <v>42</v>
      </c>
      <c r="O46" s="32" t="s">
        <v>40</v>
      </c>
    </row>
    <row r="47" spans="1:21" ht="51">
      <c r="A47" s="23" t="s">
        <v>179</v>
      </c>
      <c r="B47" s="24" t="s">
        <v>168</v>
      </c>
      <c r="C47" s="2" t="s">
        <v>172</v>
      </c>
      <c r="D47" s="6">
        <v>43446</v>
      </c>
      <c r="E47" s="6">
        <v>43448</v>
      </c>
      <c r="F47" s="2">
        <v>2</v>
      </c>
      <c r="H47" s="2" t="s">
        <v>192</v>
      </c>
      <c r="I47" s="28">
        <f t="shared" si="2"/>
        <v>43446</v>
      </c>
      <c r="J47" s="14">
        <v>43446</v>
      </c>
      <c r="K47" s="71" t="s">
        <v>147</v>
      </c>
      <c r="L47" s="12"/>
      <c r="M47" s="31">
        <v>43446</v>
      </c>
      <c r="N47" s="32" t="s">
        <v>42</v>
      </c>
      <c r="O47" s="32" t="s">
        <v>40</v>
      </c>
    </row>
    <row r="48" spans="1:21" ht="27.75" customHeight="1">
      <c r="A48" s="23" t="s">
        <v>180</v>
      </c>
      <c r="B48" s="24" t="s">
        <v>169</v>
      </c>
      <c r="C48" s="2" t="s">
        <v>173</v>
      </c>
      <c r="D48" s="6">
        <v>43446</v>
      </c>
      <c r="E48" s="6">
        <v>43448</v>
      </c>
      <c r="F48" s="2">
        <v>2</v>
      </c>
      <c r="H48" s="2" t="s">
        <v>192</v>
      </c>
      <c r="I48" s="28">
        <f t="shared" si="2"/>
        <v>43446</v>
      </c>
      <c r="J48" s="14">
        <v>43446</v>
      </c>
      <c r="K48" s="71" t="s">
        <v>147</v>
      </c>
      <c r="L48" s="12"/>
      <c r="M48" s="31">
        <v>43446</v>
      </c>
      <c r="N48" s="32" t="s">
        <v>42</v>
      </c>
      <c r="O48" s="32" t="s">
        <v>40</v>
      </c>
    </row>
    <row r="49" spans="1:15" ht="27.75" customHeight="1">
      <c r="A49" s="23" t="s">
        <v>181</v>
      </c>
      <c r="B49" s="24" t="s">
        <v>170</v>
      </c>
      <c r="C49" s="2" t="s">
        <v>174</v>
      </c>
      <c r="D49" s="6">
        <v>43446</v>
      </c>
      <c r="E49" s="6">
        <v>43448</v>
      </c>
      <c r="F49" s="2">
        <v>1</v>
      </c>
      <c r="H49" s="2" t="s">
        <v>192</v>
      </c>
      <c r="I49" s="28">
        <f t="shared" si="2"/>
        <v>43446</v>
      </c>
      <c r="J49" s="14">
        <v>43446</v>
      </c>
      <c r="K49" s="71" t="s">
        <v>147</v>
      </c>
      <c r="L49" s="12"/>
      <c r="M49" s="31">
        <v>43447</v>
      </c>
      <c r="N49" s="32" t="s">
        <v>42</v>
      </c>
      <c r="O49" s="32" t="s">
        <v>40</v>
      </c>
    </row>
    <row r="50" spans="1:15" ht="27.75" customHeight="1">
      <c r="A50" s="23" t="s">
        <v>182</v>
      </c>
      <c r="B50" s="24" t="s">
        <v>175</v>
      </c>
      <c r="C50" s="2" t="s">
        <v>176</v>
      </c>
      <c r="D50" s="6">
        <v>43446</v>
      </c>
      <c r="E50" s="6">
        <v>43448</v>
      </c>
      <c r="F50" s="2">
        <v>1</v>
      </c>
      <c r="H50" s="2" t="s">
        <v>192</v>
      </c>
      <c r="I50" s="28">
        <f t="shared" si="2"/>
        <v>43446</v>
      </c>
      <c r="J50" s="14">
        <v>43446</v>
      </c>
      <c r="K50" s="71" t="s">
        <v>147</v>
      </c>
      <c r="L50" s="12"/>
      <c r="M50" s="31">
        <v>43447</v>
      </c>
      <c r="N50" s="32" t="s">
        <v>42</v>
      </c>
      <c r="O50" s="32" t="s">
        <v>40</v>
      </c>
    </row>
    <row r="51" spans="1:15" ht="27.75" customHeight="1">
      <c r="A51" s="23" t="s">
        <v>178</v>
      </c>
      <c r="B51" s="24" t="s">
        <v>183</v>
      </c>
      <c r="C51" s="2" t="s">
        <v>188</v>
      </c>
      <c r="D51" s="6">
        <v>43451</v>
      </c>
      <c r="E51" s="6">
        <v>43453</v>
      </c>
      <c r="F51" s="2">
        <v>12</v>
      </c>
      <c r="G51" s="2">
        <v>2</v>
      </c>
      <c r="H51" s="2" t="s">
        <v>193</v>
      </c>
      <c r="I51" s="28">
        <f t="shared" si="2"/>
        <v>43451</v>
      </c>
      <c r="J51" s="14">
        <v>43447</v>
      </c>
      <c r="K51" s="71" t="s">
        <v>147</v>
      </c>
      <c r="L51" s="12"/>
      <c r="M51" s="31">
        <v>43451</v>
      </c>
      <c r="N51" s="32" t="s">
        <v>42</v>
      </c>
      <c r="O51" s="32" t="s">
        <v>40</v>
      </c>
    </row>
    <row r="52" spans="1:15" ht="27.75" customHeight="1">
      <c r="A52" s="23" t="s">
        <v>185</v>
      </c>
      <c r="B52" s="24" t="s">
        <v>194</v>
      </c>
      <c r="C52" s="2" t="s">
        <v>195</v>
      </c>
      <c r="D52" s="6">
        <v>43451</v>
      </c>
      <c r="E52" s="6">
        <v>43453</v>
      </c>
      <c r="F52" s="2">
        <v>4</v>
      </c>
      <c r="G52" s="2">
        <v>1</v>
      </c>
      <c r="H52" s="2" t="s">
        <v>193</v>
      </c>
      <c r="I52" s="28">
        <f t="shared" si="2"/>
        <v>43451</v>
      </c>
      <c r="J52" s="14">
        <v>43447</v>
      </c>
      <c r="K52" s="71" t="s">
        <v>147</v>
      </c>
      <c r="L52" s="12"/>
      <c r="M52" s="31">
        <v>43448</v>
      </c>
      <c r="N52" s="32" t="s">
        <v>42</v>
      </c>
      <c r="O52" s="32" t="s">
        <v>40</v>
      </c>
    </row>
    <row r="53" spans="1:15" ht="38.25">
      <c r="A53" s="23" t="s">
        <v>186</v>
      </c>
      <c r="B53" s="24" t="s">
        <v>196</v>
      </c>
      <c r="C53" s="2" t="s">
        <v>197</v>
      </c>
      <c r="D53" s="6">
        <v>43451</v>
      </c>
      <c r="E53" s="6">
        <v>43453</v>
      </c>
      <c r="F53" s="2">
        <v>4</v>
      </c>
      <c r="G53" s="2">
        <v>1</v>
      </c>
      <c r="H53" s="2" t="s">
        <v>193</v>
      </c>
      <c r="I53" s="28">
        <f t="shared" si="2"/>
        <v>43451</v>
      </c>
      <c r="J53" s="14">
        <v>43449</v>
      </c>
      <c r="K53" s="71" t="s">
        <v>147</v>
      </c>
      <c r="L53" s="12"/>
      <c r="M53" s="31">
        <v>43451</v>
      </c>
      <c r="N53" s="32" t="s">
        <v>42</v>
      </c>
      <c r="O53" s="32" t="s">
        <v>40</v>
      </c>
    </row>
    <row r="54" spans="1:15" ht="27.75" customHeight="1">
      <c r="A54" s="23" t="s">
        <v>187</v>
      </c>
      <c r="B54" s="24" t="s">
        <v>198</v>
      </c>
      <c r="C54" s="2" t="s">
        <v>199</v>
      </c>
      <c r="D54" s="6">
        <v>43451</v>
      </c>
      <c r="E54" s="6">
        <v>43453</v>
      </c>
      <c r="F54" s="2">
        <v>4</v>
      </c>
      <c r="G54" s="2">
        <v>1</v>
      </c>
      <c r="H54" s="2">
        <v>3.6</v>
      </c>
      <c r="I54" s="28">
        <f t="shared" si="2"/>
        <v>43451</v>
      </c>
      <c r="J54" s="14">
        <v>43449</v>
      </c>
      <c r="K54" s="71" t="s">
        <v>147</v>
      </c>
      <c r="L54" s="12"/>
      <c r="M54" s="31">
        <v>43451</v>
      </c>
      <c r="N54" s="32" t="s">
        <v>42</v>
      </c>
      <c r="O54" s="32" t="s">
        <v>40</v>
      </c>
    </row>
    <row r="55" spans="1:15" s="7" customFormat="1">
      <c r="A55" s="51" t="s">
        <v>16</v>
      </c>
      <c r="B55" s="52" t="s">
        <v>205</v>
      </c>
      <c r="D55" s="8">
        <v>43420</v>
      </c>
      <c r="E55" s="8">
        <v>43448</v>
      </c>
      <c r="F55" s="7">
        <v>10</v>
      </c>
      <c r="G55" s="7">
        <v>2</v>
      </c>
      <c r="H55" s="42" t="s">
        <v>211</v>
      </c>
      <c r="I55" s="39">
        <v>43420</v>
      </c>
      <c r="J55" s="40">
        <v>43420</v>
      </c>
      <c r="K55" s="72" t="s">
        <v>147</v>
      </c>
      <c r="L55" s="41"/>
      <c r="M55" s="40">
        <v>43445</v>
      </c>
      <c r="N55" s="66" t="s">
        <v>208</v>
      </c>
      <c r="O55" s="65" t="s">
        <v>40</v>
      </c>
    </row>
    <row r="56" spans="1:15" s="44" customFormat="1" ht="45">
      <c r="A56" s="53" t="s">
        <v>201</v>
      </c>
      <c r="B56" s="54" t="s">
        <v>202</v>
      </c>
      <c r="C56" s="43" t="s">
        <v>206</v>
      </c>
      <c r="D56" s="45">
        <v>43420</v>
      </c>
      <c r="E56" s="45">
        <v>43426</v>
      </c>
      <c r="F56" s="44">
        <v>4</v>
      </c>
      <c r="G56" s="44">
        <v>1</v>
      </c>
      <c r="H56" s="43" t="s">
        <v>209</v>
      </c>
      <c r="I56" s="46">
        <v>43420</v>
      </c>
      <c r="J56" s="47">
        <v>43416</v>
      </c>
      <c r="K56" s="71" t="s">
        <v>147</v>
      </c>
      <c r="L56" s="48"/>
      <c r="M56" s="47">
        <v>43420</v>
      </c>
      <c r="N56" s="49" t="s">
        <v>208</v>
      </c>
      <c r="O56" s="32" t="s">
        <v>40</v>
      </c>
    </row>
    <row r="57" spans="1:15" s="44" customFormat="1" ht="30">
      <c r="A57" s="53" t="s">
        <v>203</v>
      </c>
      <c r="B57" s="54" t="s">
        <v>204</v>
      </c>
      <c r="C57" s="43" t="s">
        <v>207</v>
      </c>
      <c r="D57" s="45">
        <v>43442</v>
      </c>
      <c r="E57" s="45">
        <v>43448</v>
      </c>
      <c r="F57" s="44">
        <v>6</v>
      </c>
      <c r="G57" s="44">
        <v>1</v>
      </c>
      <c r="H57" s="43" t="s">
        <v>210</v>
      </c>
      <c r="I57" s="46">
        <v>43442</v>
      </c>
      <c r="J57" s="47">
        <v>43444</v>
      </c>
      <c r="K57" s="71" t="s">
        <v>147</v>
      </c>
      <c r="L57" s="48"/>
      <c r="M57" s="50">
        <v>43445</v>
      </c>
      <c r="N57" s="49" t="s">
        <v>208</v>
      </c>
      <c r="O57" s="32" t="s">
        <v>40</v>
      </c>
    </row>
    <row r="58" spans="1:15" s="7" customFormat="1" ht="45">
      <c r="A58" s="51" t="s">
        <v>18</v>
      </c>
      <c r="B58" s="52" t="s">
        <v>212</v>
      </c>
      <c r="C58" s="42" t="s">
        <v>221</v>
      </c>
      <c r="D58" s="8">
        <v>43460</v>
      </c>
      <c r="E58" s="8">
        <v>43465</v>
      </c>
      <c r="F58" s="7">
        <v>12</v>
      </c>
      <c r="G58" s="7">
        <v>2</v>
      </c>
      <c r="H58" s="42" t="s">
        <v>222</v>
      </c>
      <c r="I58" s="39">
        <v>43458</v>
      </c>
      <c r="J58" s="40">
        <v>43458</v>
      </c>
      <c r="K58" s="72" t="s">
        <v>147</v>
      </c>
      <c r="L58" s="61" t="s">
        <v>223</v>
      </c>
      <c r="M58" s="40">
        <v>43460</v>
      </c>
      <c r="N58" s="62" t="s">
        <v>42</v>
      </c>
      <c r="O58" s="65" t="s">
        <v>40</v>
      </c>
    </row>
    <row r="59" spans="1:15" s="56" customFormat="1" ht="45">
      <c r="A59" s="81" t="s">
        <v>200</v>
      </c>
      <c r="B59" s="80" t="s">
        <v>219</v>
      </c>
      <c r="C59" s="60" t="s">
        <v>220</v>
      </c>
      <c r="D59" s="57">
        <v>43460</v>
      </c>
      <c r="E59" s="57">
        <v>43465</v>
      </c>
      <c r="F59" s="56">
        <v>12</v>
      </c>
      <c r="G59" s="56">
        <v>2</v>
      </c>
      <c r="H59" s="56" t="s">
        <v>222</v>
      </c>
      <c r="I59" s="58">
        <v>43458</v>
      </c>
      <c r="J59" s="59">
        <v>43458</v>
      </c>
      <c r="K59" s="71" t="s">
        <v>147</v>
      </c>
      <c r="L59" s="63" t="s">
        <v>224</v>
      </c>
      <c r="M59" s="59">
        <v>43460</v>
      </c>
      <c r="N59" s="64" t="s">
        <v>42</v>
      </c>
      <c r="O59" s="32" t="s">
        <v>40</v>
      </c>
    </row>
    <row r="60" spans="1:15" s="7" customFormat="1" ht="45">
      <c r="A60" s="51" t="s">
        <v>213</v>
      </c>
      <c r="B60" s="52" t="s">
        <v>17</v>
      </c>
      <c r="C60" s="7" t="s">
        <v>23</v>
      </c>
      <c r="D60" s="8">
        <v>43454</v>
      </c>
      <c r="E60" s="8">
        <v>43460</v>
      </c>
      <c r="F60" s="7">
        <v>80</v>
      </c>
      <c r="G60" s="7">
        <v>5</v>
      </c>
      <c r="H60" s="7" t="s">
        <v>44</v>
      </c>
      <c r="I60" s="8">
        <f t="shared" si="2"/>
        <v>43454</v>
      </c>
      <c r="J60" s="13">
        <v>43452</v>
      </c>
      <c r="K60" s="79" t="s">
        <v>147</v>
      </c>
      <c r="M60" s="13">
        <v>43469</v>
      </c>
      <c r="N60" s="7" t="s">
        <v>43</v>
      </c>
      <c r="O60" s="7" t="s">
        <v>40</v>
      </c>
    </row>
    <row r="61" spans="1:15" ht="25.5">
      <c r="A61" s="23" t="s">
        <v>214</v>
      </c>
      <c r="B61" s="24" t="s">
        <v>75</v>
      </c>
      <c r="C61" s="2" t="s">
        <v>76</v>
      </c>
      <c r="D61" s="6">
        <v>43454</v>
      </c>
      <c r="E61" s="6">
        <v>43457</v>
      </c>
      <c r="F61" s="2">
        <v>15</v>
      </c>
      <c r="G61" s="2">
        <v>3</v>
      </c>
      <c r="H61" s="2">
        <v>3.7</v>
      </c>
      <c r="I61" s="28">
        <f t="shared" si="2"/>
        <v>43454</v>
      </c>
      <c r="J61" s="14">
        <v>43452</v>
      </c>
      <c r="K61" s="71" t="s">
        <v>147</v>
      </c>
      <c r="L61" s="12"/>
      <c r="M61" s="14">
        <v>43461</v>
      </c>
      <c r="N61" s="10" t="s">
        <v>43</v>
      </c>
      <c r="O61" s="10" t="s">
        <v>40</v>
      </c>
    </row>
    <row r="62" spans="1:15" ht="42" customHeight="1">
      <c r="A62" s="23" t="s">
        <v>225</v>
      </c>
      <c r="B62" s="24" t="s">
        <v>228</v>
      </c>
      <c r="C62" s="2" t="s">
        <v>233</v>
      </c>
      <c r="D62" s="6">
        <v>43465</v>
      </c>
      <c r="E62" s="6">
        <v>43104</v>
      </c>
      <c r="F62" s="2">
        <v>5</v>
      </c>
      <c r="G62" s="2">
        <v>1</v>
      </c>
      <c r="H62" s="2" t="s">
        <v>283</v>
      </c>
      <c r="I62" s="28">
        <v>43465</v>
      </c>
      <c r="J62" s="14">
        <v>43461</v>
      </c>
      <c r="K62" s="71" t="s">
        <v>147</v>
      </c>
      <c r="L62" s="63" t="s">
        <v>224</v>
      </c>
      <c r="M62" s="14">
        <v>43461</v>
      </c>
      <c r="N62" s="10" t="s">
        <v>43</v>
      </c>
      <c r="O62" s="10" t="s">
        <v>40</v>
      </c>
    </row>
    <row r="63" spans="1:15" ht="25.5">
      <c r="A63" s="23" t="s">
        <v>251</v>
      </c>
      <c r="B63" s="24" t="s">
        <v>253</v>
      </c>
      <c r="C63" s="2" t="s">
        <v>281</v>
      </c>
      <c r="D63" s="6">
        <v>43465</v>
      </c>
      <c r="E63" s="6">
        <v>43104</v>
      </c>
      <c r="F63" s="2">
        <v>5</v>
      </c>
      <c r="G63" s="2">
        <v>1</v>
      </c>
      <c r="H63" s="2">
        <v>3.7</v>
      </c>
      <c r="I63" s="28">
        <v>43465</v>
      </c>
      <c r="J63" s="14">
        <v>43452</v>
      </c>
      <c r="K63" s="71" t="s">
        <v>147</v>
      </c>
      <c r="L63" s="63"/>
      <c r="M63" s="14">
        <v>43452</v>
      </c>
      <c r="N63" s="10" t="s">
        <v>43</v>
      </c>
      <c r="O63" s="10" t="s">
        <v>40</v>
      </c>
    </row>
    <row r="64" spans="1:15" ht="25.5">
      <c r="A64" s="23" t="s">
        <v>252</v>
      </c>
      <c r="B64" s="24" t="s">
        <v>254</v>
      </c>
      <c r="C64" s="2" t="s">
        <v>282</v>
      </c>
      <c r="D64" s="6">
        <v>43465</v>
      </c>
      <c r="E64" s="6">
        <v>43104</v>
      </c>
      <c r="F64" s="2">
        <v>5</v>
      </c>
      <c r="G64" s="2">
        <v>1</v>
      </c>
      <c r="H64" s="2">
        <v>3.7</v>
      </c>
      <c r="I64" s="28">
        <v>43465</v>
      </c>
      <c r="J64" s="14">
        <v>43453</v>
      </c>
      <c r="K64" s="71" t="s">
        <v>147</v>
      </c>
      <c r="L64" s="63"/>
      <c r="M64" s="14">
        <v>43453</v>
      </c>
      <c r="N64" s="10" t="s">
        <v>43</v>
      </c>
      <c r="O64" s="10" t="s">
        <v>40</v>
      </c>
    </row>
    <row r="65" spans="1:21" ht="25.5">
      <c r="A65" s="23" t="s">
        <v>215</v>
      </c>
      <c r="B65" s="24" t="s">
        <v>77</v>
      </c>
      <c r="C65" s="2" t="s">
        <v>78</v>
      </c>
      <c r="D65" s="6">
        <v>43454</v>
      </c>
      <c r="E65" s="6">
        <v>43461</v>
      </c>
      <c r="F65" s="2">
        <v>15</v>
      </c>
      <c r="G65" s="2">
        <v>3</v>
      </c>
      <c r="H65" s="2">
        <v>3.7</v>
      </c>
      <c r="I65" s="28">
        <f t="shared" si="2"/>
        <v>43454</v>
      </c>
      <c r="J65" s="14">
        <v>43454</v>
      </c>
      <c r="K65" s="71" t="s">
        <v>147</v>
      </c>
      <c r="L65" s="12"/>
      <c r="M65" s="14">
        <v>43467</v>
      </c>
      <c r="N65" s="10" t="s">
        <v>43</v>
      </c>
      <c r="O65" s="10" t="s">
        <v>40</v>
      </c>
    </row>
    <row r="66" spans="1:21" ht="45">
      <c r="A66" s="23" t="s">
        <v>227</v>
      </c>
      <c r="B66" s="24" t="s">
        <v>229</v>
      </c>
      <c r="C66" s="2" t="s">
        <v>234</v>
      </c>
      <c r="D66" s="6">
        <v>43467</v>
      </c>
      <c r="E66" s="6">
        <v>43469</v>
      </c>
      <c r="F66" s="2">
        <v>5</v>
      </c>
      <c r="G66" s="2">
        <v>1</v>
      </c>
      <c r="H66" s="2" t="s">
        <v>283</v>
      </c>
      <c r="I66" s="28">
        <v>43464</v>
      </c>
      <c r="J66" s="14">
        <v>43464</v>
      </c>
      <c r="K66" s="71" t="s">
        <v>147</v>
      </c>
      <c r="L66" s="63" t="s">
        <v>224</v>
      </c>
      <c r="M66" s="14">
        <v>43467</v>
      </c>
      <c r="N66" s="10" t="s">
        <v>43</v>
      </c>
      <c r="O66" s="10" t="s">
        <v>40</v>
      </c>
    </row>
    <row r="67" spans="1:21" ht="24">
      <c r="A67" s="23" t="s">
        <v>255</v>
      </c>
      <c r="B67" s="24" t="s">
        <v>257</v>
      </c>
      <c r="C67" s="2" t="s">
        <v>259</v>
      </c>
      <c r="D67" s="6">
        <v>43464</v>
      </c>
      <c r="E67" s="6">
        <v>43469</v>
      </c>
      <c r="F67" s="2">
        <v>5</v>
      </c>
      <c r="G67" s="2">
        <v>1</v>
      </c>
      <c r="H67" s="2">
        <v>3.7</v>
      </c>
      <c r="I67" s="28">
        <v>43457</v>
      </c>
      <c r="J67" s="14">
        <v>43819</v>
      </c>
      <c r="K67" s="71" t="s">
        <v>147</v>
      </c>
      <c r="L67" s="63"/>
      <c r="M67" s="14">
        <v>43454</v>
      </c>
      <c r="N67" s="10" t="s">
        <v>43</v>
      </c>
      <c r="O67" s="10" t="s">
        <v>40</v>
      </c>
    </row>
    <row r="68" spans="1:21" ht="24">
      <c r="A68" s="23" t="s">
        <v>256</v>
      </c>
      <c r="B68" s="24" t="s">
        <v>258</v>
      </c>
      <c r="C68" s="2" t="s">
        <v>259</v>
      </c>
      <c r="D68" s="6">
        <v>43464</v>
      </c>
      <c r="E68" s="6">
        <v>43469</v>
      </c>
      <c r="F68" s="2">
        <v>5</v>
      </c>
      <c r="G68" s="2">
        <v>1</v>
      </c>
      <c r="H68" s="2">
        <v>3.7</v>
      </c>
      <c r="I68" s="28">
        <v>43460</v>
      </c>
      <c r="J68" s="14">
        <v>43457</v>
      </c>
      <c r="K68" s="71" t="s">
        <v>147</v>
      </c>
      <c r="L68" s="63"/>
      <c r="M68" s="14">
        <v>43457</v>
      </c>
      <c r="N68" s="10" t="s">
        <v>43</v>
      </c>
      <c r="O68" s="10" t="s">
        <v>40</v>
      </c>
    </row>
    <row r="69" spans="1:21" ht="38.25">
      <c r="A69" s="23" t="s">
        <v>216</v>
      </c>
      <c r="B69" s="24" t="s">
        <v>79</v>
      </c>
      <c r="C69" s="2" t="s">
        <v>231</v>
      </c>
      <c r="D69" s="6">
        <v>43464</v>
      </c>
      <c r="E69" s="6">
        <v>43472</v>
      </c>
      <c r="F69" s="2">
        <v>15</v>
      </c>
      <c r="G69" s="2">
        <v>3</v>
      </c>
      <c r="H69" s="2">
        <v>3.7</v>
      </c>
      <c r="I69" s="28">
        <f t="shared" si="2"/>
        <v>43464</v>
      </c>
      <c r="J69" s="14">
        <v>43457</v>
      </c>
      <c r="K69" s="71" t="s">
        <v>147</v>
      </c>
      <c r="L69" s="21" t="s">
        <v>235</v>
      </c>
      <c r="M69" s="14">
        <v>43468</v>
      </c>
      <c r="N69" s="10" t="s">
        <v>43</v>
      </c>
      <c r="O69" s="10" t="s">
        <v>40</v>
      </c>
    </row>
    <row r="70" spans="1:21" ht="45">
      <c r="A70" s="23" t="s">
        <v>226</v>
      </c>
      <c r="B70" s="24" t="s">
        <v>230</v>
      </c>
      <c r="C70" s="2" t="s">
        <v>232</v>
      </c>
      <c r="D70" s="6">
        <v>43468</v>
      </c>
      <c r="E70" s="6">
        <v>43472</v>
      </c>
      <c r="F70" s="2">
        <v>5</v>
      </c>
      <c r="G70" s="2">
        <v>1</v>
      </c>
      <c r="H70" s="2" t="s">
        <v>283</v>
      </c>
      <c r="I70" s="28">
        <v>43468</v>
      </c>
      <c r="J70" s="14">
        <v>43468</v>
      </c>
      <c r="K70" s="71" t="s">
        <v>147</v>
      </c>
      <c r="L70" s="63" t="s">
        <v>224</v>
      </c>
      <c r="M70" s="14">
        <v>43468</v>
      </c>
      <c r="N70" s="10" t="s">
        <v>43</v>
      </c>
      <c r="O70" s="10" t="s">
        <v>40</v>
      </c>
    </row>
    <row r="71" spans="1:21" ht="27" customHeight="1">
      <c r="A71" s="23" t="s">
        <v>238</v>
      </c>
      <c r="B71" s="24" t="s">
        <v>240</v>
      </c>
      <c r="C71" s="2" t="s">
        <v>260</v>
      </c>
      <c r="D71" s="6">
        <v>43464</v>
      </c>
      <c r="E71" s="6">
        <v>43472</v>
      </c>
      <c r="F71" s="2">
        <v>5</v>
      </c>
      <c r="G71" s="2">
        <v>1</v>
      </c>
      <c r="H71" s="2">
        <v>3.7</v>
      </c>
      <c r="I71" s="28">
        <v>43464</v>
      </c>
      <c r="J71" s="14">
        <v>43457</v>
      </c>
      <c r="K71" s="71" t="s">
        <v>147</v>
      </c>
      <c r="L71" s="63"/>
      <c r="M71" s="14">
        <v>43457</v>
      </c>
      <c r="N71" s="10" t="s">
        <v>43</v>
      </c>
      <c r="O71" s="10" t="s">
        <v>40</v>
      </c>
    </row>
    <row r="72" spans="1:21" ht="25.5">
      <c r="A72" s="23" t="s">
        <v>239</v>
      </c>
      <c r="B72" s="24" t="s">
        <v>241</v>
      </c>
      <c r="C72" s="2" t="s">
        <v>261</v>
      </c>
      <c r="D72" s="6">
        <v>43464</v>
      </c>
      <c r="E72" s="6">
        <v>43472</v>
      </c>
      <c r="F72" s="2">
        <v>5</v>
      </c>
      <c r="G72" s="2">
        <v>1</v>
      </c>
      <c r="H72" s="2">
        <v>3.7</v>
      </c>
      <c r="I72" s="28">
        <v>43464</v>
      </c>
      <c r="J72" s="14">
        <v>43457</v>
      </c>
      <c r="K72" s="71" t="s">
        <v>147</v>
      </c>
      <c r="L72" s="63"/>
      <c r="M72" s="14">
        <v>43460</v>
      </c>
      <c r="N72" s="10" t="s">
        <v>43</v>
      </c>
      <c r="O72" s="10" t="s">
        <v>40</v>
      </c>
    </row>
    <row r="73" spans="1:21" s="38" customFormat="1" ht="38.25">
      <c r="A73" s="23" t="s">
        <v>217</v>
      </c>
      <c r="B73" s="24" t="s">
        <v>139</v>
      </c>
      <c r="C73" s="25" t="s">
        <v>140</v>
      </c>
      <c r="D73" s="26">
        <v>43472</v>
      </c>
      <c r="E73" s="26">
        <v>43476</v>
      </c>
      <c r="F73" s="25">
        <v>40</v>
      </c>
      <c r="G73" s="25">
        <v>5</v>
      </c>
      <c r="H73" s="25" t="s">
        <v>285</v>
      </c>
      <c r="I73" s="31">
        <v>43472</v>
      </c>
      <c r="J73" s="31">
        <v>43460</v>
      </c>
      <c r="K73" s="71" t="s">
        <v>147</v>
      </c>
      <c r="L73" s="21" t="s">
        <v>236</v>
      </c>
      <c r="M73" s="31"/>
      <c r="N73" s="10" t="s">
        <v>43</v>
      </c>
      <c r="O73" s="10" t="s">
        <v>40</v>
      </c>
      <c r="P73" s="25"/>
      <c r="Q73" s="25"/>
      <c r="R73" s="25"/>
      <c r="S73" s="25"/>
      <c r="T73" s="25"/>
      <c r="U73" s="25"/>
    </row>
    <row r="74" spans="1:21" s="38" customFormat="1">
      <c r="A74" s="23" t="s">
        <v>242</v>
      </c>
      <c r="B74" s="24" t="s">
        <v>246</v>
      </c>
      <c r="C74" s="25" t="s">
        <v>264</v>
      </c>
      <c r="D74" s="26">
        <v>43472</v>
      </c>
      <c r="E74" s="26">
        <v>43476</v>
      </c>
      <c r="F74" s="25">
        <v>2</v>
      </c>
      <c r="G74" s="25"/>
      <c r="H74" s="25">
        <v>4.2</v>
      </c>
      <c r="I74" s="31">
        <v>43472</v>
      </c>
      <c r="J74" s="31">
        <v>43460</v>
      </c>
      <c r="K74" s="71" t="s">
        <v>147</v>
      </c>
      <c r="L74" s="21"/>
      <c r="M74" s="31">
        <v>43460</v>
      </c>
      <c r="N74" s="10" t="s">
        <v>43</v>
      </c>
      <c r="O74" s="10" t="s">
        <v>40</v>
      </c>
      <c r="P74" s="25"/>
      <c r="Q74" s="25"/>
      <c r="R74" s="25"/>
      <c r="S74" s="25"/>
      <c r="T74" s="25"/>
      <c r="U74" s="25"/>
    </row>
    <row r="75" spans="1:21" s="38" customFormat="1" ht="25.5">
      <c r="A75" s="23" t="s">
        <v>247</v>
      </c>
      <c r="B75" s="24" t="s">
        <v>265</v>
      </c>
      <c r="C75" s="25" t="s">
        <v>266</v>
      </c>
      <c r="D75" s="26">
        <v>43472</v>
      </c>
      <c r="E75" s="26">
        <v>43476</v>
      </c>
      <c r="F75" s="25">
        <v>1</v>
      </c>
      <c r="G75" s="25"/>
      <c r="H75" s="25">
        <v>4.2</v>
      </c>
      <c r="I75" s="31">
        <v>43472</v>
      </c>
      <c r="J75" s="31">
        <v>43460</v>
      </c>
      <c r="K75" s="71" t="s">
        <v>147</v>
      </c>
      <c r="L75" s="21"/>
      <c r="M75" s="31">
        <v>43460</v>
      </c>
      <c r="N75" s="10" t="s">
        <v>43</v>
      </c>
      <c r="O75" s="10" t="s">
        <v>40</v>
      </c>
      <c r="P75" s="25"/>
      <c r="Q75" s="25"/>
      <c r="R75" s="25"/>
      <c r="S75" s="25"/>
      <c r="T75" s="25"/>
      <c r="U75" s="25"/>
    </row>
    <row r="76" spans="1:21" s="38" customFormat="1" ht="25.5">
      <c r="A76" s="23" t="s">
        <v>248</v>
      </c>
      <c r="B76" s="24" t="s">
        <v>249</v>
      </c>
      <c r="C76" s="25" t="s">
        <v>267</v>
      </c>
      <c r="D76" s="26">
        <v>43472</v>
      </c>
      <c r="E76" s="26">
        <v>43476</v>
      </c>
      <c r="F76" s="25">
        <v>1</v>
      </c>
      <c r="G76" s="25"/>
      <c r="H76" s="25">
        <v>4.2</v>
      </c>
      <c r="I76" s="31">
        <v>43472</v>
      </c>
      <c r="J76" s="31">
        <v>43460</v>
      </c>
      <c r="K76" s="71" t="s">
        <v>147</v>
      </c>
      <c r="L76" s="21"/>
      <c r="M76" s="31">
        <v>43460</v>
      </c>
      <c r="N76" s="10" t="s">
        <v>43</v>
      </c>
      <c r="O76" s="10" t="s">
        <v>40</v>
      </c>
      <c r="P76" s="25"/>
      <c r="Q76" s="25"/>
      <c r="R76" s="25"/>
      <c r="S76" s="25"/>
      <c r="T76" s="25"/>
      <c r="U76" s="25"/>
    </row>
    <row r="77" spans="1:21" s="38" customFormat="1" ht="38.25">
      <c r="A77" s="23" t="s">
        <v>243</v>
      </c>
      <c r="B77" s="24" t="s">
        <v>250</v>
      </c>
      <c r="C77" s="25" t="s">
        <v>268</v>
      </c>
      <c r="D77" s="26">
        <v>43472</v>
      </c>
      <c r="E77" s="26">
        <v>43476</v>
      </c>
      <c r="F77" s="25">
        <v>8</v>
      </c>
      <c r="G77" s="25">
        <v>1</v>
      </c>
      <c r="H77" s="25" t="s">
        <v>284</v>
      </c>
      <c r="I77" s="31">
        <v>43460</v>
      </c>
      <c r="J77" s="31">
        <v>43460</v>
      </c>
      <c r="K77" s="71" t="s">
        <v>147</v>
      </c>
      <c r="L77" s="21"/>
      <c r="M77" s="31">
        <v>43461</v>
      </c>
      <c r="N77" s="10" t="s">
        <v>43</v>
      </c>
      <c r="O77" s="10" t="s">
        <v>40</v>
      </c>
      <c r="P77" s="25"/>
      <c r="Q77" s="25"/>
      <c r="R77" s="25"/>
      <c r="S77" s="25"/>
      <c r="T77" s="25"/>
      <c r="U77" s="25"/>
    </row>
    <row r="78" spans="1:21" s="38" customFormat="1" ht="25.5">
      <c r="A78" s="23" t="s">
        <v>244</v>
      </c>
      <c r="B78" s="24" t="s">
        <v>262</v>
      </c>
      <c r="C78" s="25" t="s">
        <v>269</v>
      </c>
      <c r="D78" s="26">
        <v>43472</v>
      </c>
      <c r="E78" s="26">
        <v>43476</v>
      </c>
      <c r="F78" s="25">
        <v>11</v>
      </c>
      <c r="G78" s="25">
        <v>2</v>
      </c>
      <c r="H78" s="25">
        <v>3.7</v>
      </c>
      <c r="I78" s="31">
        <v>43461</v>
      </c>
      <c r="J78" s="31">
        <v>43461</v>
      </c>
      <c r="K78" s="71" t="s">
        <v>147</v>
      </c>
      <c r="L78" s="21"/>
      <c r="M78" s="31">
        <v>43465</v>
      </c>
      <c r="N78" s="10" t="s">
        <v>43</v>
      </c>
      <c r="O78" s="10" t="s">
        <v>40</v>
      </c>
      <c r="P78" s="25"/>
      <c r="Q78" s="25"/>
      <c r="R78" s="25"/>
      <c r="S78" s="25"/>
      <c r="T78" s="25"/>
      <c r="U78" s="25"/>
    </row>
    <row r="79" spans="1:21" s="38" customFormat="1" ht="38.25">
      <c r="A79" s="23" t="s">
        <v>245</v>
      </c>
      <c r="B79" s="24" t="s">
        <v>263</v>
      </c>
      <c r="C79" s="25" t="s">
        <v>270</v>
      </c>
      <c r="D79" s="26">
        <v>43472</v>
      </c>
      <c r="E79" s="26">
        <v>43476</v>
      </c>
      <c r="F79" s="25">
        <v>11</v>
      </c>
      <c r="G79" s="25">
        <v>2</v>
      </c>
      <c r="H79" s="25">
        <v>3.7</v>
      </c>
      <c r="I79" s="31">
        <v>43465</v>
      </c>
      <c r="J79" s="31">
        <v>43467</v>
      </c>
      <c r="K79" s="71" t="s">
        <v>147</v>
      </c>
      <c r="L79" s="21"/>
      <c r="M79" s="31">
        <v>43469</v>
      </c>
      <c r="N79" s="10" t="s">
        <v>43</v>
      </c>
      <c r="O79" s="10" t="s">
        <v>40</v>
      </c>
      <c r="P79" s="25"/>
      <c r="Q79" s="25"/>
      <c r="R79" s="25"/>
      <c r="S79" s="25"/>
      <c r="T79" s="25"/>
      <c r="U79" s="25"/>
    </row>
    <row r="80" spans="1:21" s="9" customFormat="1" ht="45">
      <c r="A80" s="55" t="s">
        <v>218</v>
      </c>
      <c r="B80" s="87" t="s">
        <v>19</v>
      </c>
      <c r="C80" s="33" t="s">
        <v>24</v>
      </c>
      <c r="D80" s="34">
        <v>43477</v>
      </c>
      <c r="E80" s="34">
        <v>43485</v>
      </c>
      <c r="F80" s="33">
        <v>10</v>
      </c>
      <c r="G80" s="33">
        <v>2</v>
      </c>
      <c r="H80" s="33" t="s">
        <v>286</v>
      </c>
      <c r="I80" s="34">
        <v>43477</v>
      </c>
      <c r="J80" s="84">
        <v>43472</v>
      </c>
      <c r="K80" s="85" t="s">
        <v>147</v>
      </c>
      <c r="L80" s="33"/>
      <c r="M80" s="84">
        <v>43473</v>
      </c>
      <c r="N80" s="33" t="s">
        <v>40</v>
      </c>
      <c r="O80" s="33" t="s">
        <v>40</v>
      </c>
    </row>
    <row r="81" spans="1:15" ht="38.25">
      <c r="A81" s="23" t="s">
        <v>271</v>
      </c>
      <c r="B81" s="24" t="s">
        <v>274</v>
      </c>
      <c r="C81" s="2" t="s">
        <v>277</v>
      </c>
      <c r="D81" s="6">
        <v>43477</v>
      </c>
      <c r="E81" s="6">
        <v>43480</v>
      </c>
      <c r="F81" s="2">
        <v>5</v>
      </c>
      <c r="G81" s="2">
        <v>1</v>
      </c>
      <c r="H81" s="82" t="s">
        <v>286</v>
      </c>
      <c r="I81" s="86">
        <v>43477</v>
      </c>
      <c r="J81" s="86">
        <v>43472</v>
      </c>
      <c r="K81" s="71" t="s">
        <v>147</v>
      </c>
      <c r="M81" s="86">
        <v>43472</v>
      </c>
      <c r="N81" s="82" t="s">
        <v>40</v>
      </c>
      <c r="O81" s="82" t="s">
        <v>40</v>
      </c>
    </row>
    <row r="82" spans="1:15" ht="25.5">
      <c r="A82" s="23" t="s">
        <v>275</v>
      </c>
      <c r="B82" s="24" t="s">
        <v>276</v>
      </c>
      <c r="C82" s="2" t="s">
        <v>280</v>
      </c>
      <c r="D82" s="6">
        <v>43480</v>
      </c>
      <c r="E82" s="6">
        <v>43481</v>
      </c>
      <c r="F82" s="2">
        <v>1</v>
      </c>
      <c r="H82" s="82" t="s">
        <v>286</v>
      </c>
      <c r="I82" s="86">
        <v>43480</v>
      </c>
      <c r="J82" s="86">
        <v>43472</v>
      </c>
      <c r="K82" s="71" t="s">
        <v>147</v>
      </c>
      <c r="M82" s="86">
        <v>43472</v>
      </c>
      <c r="N82" s="82" t="s">
        <v>40</v>
      </c>
      <c r="O82" s="82" t="s">
        <v>40</v>
      </c>
    </row>
    <row r="83" spans="1:15" ht="25.5">
      <c r="A83" s="23" t="s">
        <v>272</v>
      </c>
      <c r="B83" s="24" t="s">
        <v>273</v>
      </c>
      <c r="C83" s="2" t="s">
        <v>279</v>
      </c>
      <c r="D83" s="6">
        <v>43481</v>
      </c>
      <c r="E83" s="6">
        <v>43483</v>
      </c>
      <c r="F83" s="2">
        <v>4</v>
      </c>
      <c r="G83" s="2">
        <v>1</v>
      </c>
      <c r="H83" s="82" t="s">
        <v>286</v>
      </c>
      <c r="I83" s="86">
        <v>43481</v>
      </c>
      <c r="J83" s="86">
        <v>43473</v>
      </c>
      <c r="K83" s="71" t="s">
        <v>147</v>
      </c>
      <c r="M83" s="86">
        <v>43473</v>
      </c>
      <c r="N83" s="83" t="s">
        <v>40</v>
      </c>
      <c r="O83" s="82" t="s">
        <v>40</v>
      </c>
    </row>
    <row r="84" spans="1:15">
      <c r="A84" s="23" t="s">
        <v>278</v>
      </c>
      <c r="B84" s="88" t="s">
        <v>287</v>
      </c>
      <c r="C84" s="2" t="s">
        <v>290</v>
      </c>
      <c r="D84" s="6">
        <v>43481</v>
      </c>
      <c r="E84" s="6">
        <v>43483</v>
      </c>
      <c r="F84" s="2">
        <v>1</v>
      </c>
      <c r="H84" s="82" t="s">
        <v>286</v>
      </c>
      <c r="I84" s="86">
        <v>43481</v>
      </c>
      <c r="J84" s="86">
        <v>43473</v>
      </c>
      <c r="K84" s="71" t="s">
        <v>147</v>
      </c>
      <c r="M84" s="86">
        <v>43473</v>
      </c>
      <c r="N84" s="83" t="s">
        <v>40</v>
      </c>
      <c r="O84" s="82" t="s">
        <v>40</v>
      </c>
    </row>
    <row r="85" spans="1:15">
      <c r="A85" s="23" t="s">
        <v>288</v>
      </c>
      <c r="B85" s="88" t="s">
        <v>289</v>
      </c>
      <c r="C85" s="2" t="s">
        <v>291</v>
      </c>
      <c r="D85" s="6">
        <v>43482</v>
      </c>
      <c r="E85" s="6">
        <v>43485</v>
      </c>
      <c r="F85" s="2">
        <v>1</v>
      </c>
      <c r="H85" s="82" t="s">
        <v>286</v>
      </c>
      <c r="I85" s="86">
        <v>43482</v>
      </c>
      <c r="J85" s="86">
        <v>43473</v>
      </c>
      <c r="K85" s="71" t="s">
        <v>147</v>
      </c>
      <c r="M85" s="86">
        <v>43473</v>
      </c>
      <c r="N85" s="83" t="s">
        <v>40</v>
      </c>
      <c r="O85" s="82" t="s">
        <v>40</v>
      </c>
    </row>
    <row r="86" spans="1:15">
      <c r="A86" s="1"/>
      <c r="B86" s="5"/>
    </row>
    <row r="87" spans="1:15">
      <c r="A87" s="1"/>
      <c r="B87" s="5"/>
    </row>
    <row r="88" spans="1:15">
      <c r="A88" s="1"/>
      <c r="B88" s="5"/>
    </row>
    <row r="89" spans="1:15">
      <c r="A89" s="1"/>
      <c r="B89" s="5"/>
    </row>
    <row r="90" spans="1:15">
      <c r="A90" s="1"/>
      <c r="B90" s="5"/>
    </row>
    <row r="91" spans="1:15">
      <c r="A91" s="1"/>
      <c r="B91" s="5"/>
    </row>
    <row r="92" spans="1:15">
      <c r="A92" s="1"/>
      <c r="B92" s="5"/>
    </row>
    <row r="93" spans="1:15">
      <c r="A93" s="1"/>
      <c r="B93" s="5"/>
    </row>
    <row r="94" spans="1:15">
      <c r="A94" s="1"/>
      <c r="B94" s="5"/>
    </row>
    <row r="95" spans="1:15">
      <c r="A95" s="1"/>
      <c r="B95" s="5"/>
    </row>
  </sheetData>
  <customSheetViews>
    <customSheetView guid="{2173BB5D-F883-4E75-8561-D8B9C8A34FCB}" scale="70">
      <pane ySplit="1" topLeftCell="A2" activePane="bottomLeft" state="frozen"/>
      <selection pane="bottomLeft" activeCell="E84" sqref="E84"/>
      <pageMargins left="0.25" right="0.25" top="0.75" bottom="0.75" header="0.3" footer="0.3"/>
      <pageSetup orientation="landscape" r:id="rId1"/>
    </customSheetView>
    <customSheetView guid="{9061009B-7D0F-4C52-B35F-2B175275DB81}">
      <pane ySplit="2" topLeftCell="A3" activePane="bottomLeft" state="frozen"/>
      <selection pane="bottomLeft" activeCell="F16" sqref="F16"/>
      <pageMargins left="0.25" right="0.25" top="0.75" bottom="0.75" header="0.3" footer="0.3"/>
      <pageSetup orientation="landscape" r:id="rId2"/>
    </customSheetView>
    <customSheetView guid="{1D05BCE1-4857-47D7-A1F0-671731AF7496}" scale="90">
      <pane ySplit="2" topLeftCell="A3" activePane="bottomLeft" state="frozen"/>
      <selection pane="bottomLeft" activeCell="F40" sqref="F40"/>
      <pageMargins left="0.25" right="0.25" top="0.75" bottom="0.75" header="0.3" footer="0.3"/>
      <pageSetup orientation="landscape" r:id="rId3"/>
    </customSheetView>
  </customSheetViews>
  <pageMargins left="0.25" right="0.25" top="0.75" bottom="0.75" header="0.3" footer="0.3"/>
  <pageSetup orientation="landscape" r:id="rId4"/>
  <ignoredErrors>
    <ignoredError sqref="A2 A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  <Company>FedEx Kinko's Office and Print Services,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http://j.modjeska.us</dc:title>
  <dc:creator>Jeremy Modjeska</dc:creator>
  <dc:description>Project plan.</dc:description>
  <cp:lastModifiedBy>felicia ainslie</cp:lastModifiedBy>
  <dcterms:created xsi:type="dcterms:W3CDTF">2009-09-08T14:35:15Z</dcterms:created>
  <dcterms:modified xsi:type="dcterms:W3CDTF">2021-08-02T04:17:07Z</dcterms:modified>
</cp:coreProperties>
</file>