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Felicia.Ainslie\Documents\FeliciaAinslie\Leadership\Manager Courses\School Portfolio\"/>
    </mc:Choice>
  </mc:AlternateContent>
  <xr:revisionPtr revIDLastSave="0" documentId="8_{4918C6EC-3177-4132-B108-DB357AFE6CAB}" xr6:coauthVersionLast="47" xr6:coauthVersionMax="47" xr10:uidLastSave="{00000000-0000-0000-0000-000000000000}"/>
  <bookViews>
    <workbookView xWindow="-120" yWindow="-120" windowWidth="29040" windowHeight="15840" tabRatio="749" activeTab="3" xr2:uid="{00000000-000D-0000-FFFF-FFFF00000000}"/>
  </bookViews>
  <sheets>
    <sheet name="Source of Project Cost" sheetId="7" r:id="rId1"/>
    <sheet name="Expenditures Over Time" sheetId="6" r:id="rId2"/>
    <sheet name="Cumulative Project Costs" sheetId="3" r:id="rId3"/>
    <sheet name="Data Worksheet" sheetId="5" r:id="rId4"/>
  </sheets>
  <definedNames>
    <definedName name="ConstructionTotal">'Expenditures Over Time'!$D$26</definedName>
    <definedName name="InstallTotal">'Expenditures Over Time'!$D$11</definedName>
    <definedName name="Planning2Total">'Expenditures Over Time'!#REF!</definedName>
    <definedName name="PlanningTotal">'Expenditures Over Time'!$D$19</definedName>
    <definedName name="_xlnm.Print_Titles" localSheetId="3">'Data Worksheet'!$4:$4</definedName>
    <definedName name="TestTotal">'Expenditures Over Time'!$D$33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5" l="1"/>
  <c r="C9" i="5"/>
  <c r="D4" i="6"/>
  <c r="F24" i="7"/>
  <c r="D12" i="5" l="1"/>
  <c r="C12" i="5"/>
  <c r="D6" i="6"/>
  <c r="D49" i="7"/>
  <c r="E5" i="5" l="1"/>
  <c r="D13" i="5"/>
  <c r="D11" i="5"/>
  <c r="C13" i="5"/>
  <c r="D10" i="5"/>
  <c r="D8" i="5"/>
  <c r="D7" i="5"/>
  <c r="D6" i="5"/>
  <c r="F12" i="5" s="1"/>
  <c r="D5" i="5"/>
  <c r="C11" i="5"/>
  <c r="C10" i="5"/>
  <c r="C8" i="5"/>
  <c r="C7" i="5"/>
  <c r="C6" i="5"/>
  <c r="C5" i="5"/>
  <c r="E13" i="5" s="1"/>
  <c r="F17" i="7"/>
  <c r="E42" i="7"/>
  <c r="E29" i="7"/>
  <c r="D32" i="6"/>
  <c r="D31" i="6"/>
  <c r="D30" i="6"/>
  <c r="D29" i="6"/>
  <c r="D28" i="6"/>
  <c r="D25" i="6"/>
  <c r="D24" i="6"/>
  <c r="D5" i="6"/>
  <c r="D21" i="6"/>
  <c r="F20" i="7"/>
  <c r="D22" i="6"/>
  <c r="D23" i="6"/>
  <c r="D18" i="6"/>
  <c r="D16" i="6"/>
  <c r="E12" i="7"/>
  <c r="D17" i="6"/>
  <c r="D50" i="7"/>
  <c r="E13" i="7"/>
  <c r="E40" i="7"/>
  <c r="E32" i="7"/>
  <c r="E31" i="7"/>
  <c r="E30" i="7"/>
  <c r="E26" i="7"/>
  <c r="E25" i="7"/>
  <c r="E24" i="7"/>
  <c r="E34" i="7"/>
  <c r="E33" i="7"/>
  <c r="D13" i="6"/>
  <c r="D15" i="6"/>
  <c r="E11" i="7"/>
  <c r="D14" i="6"/>
  <c r="F10" i="5" l="1"/>
  <c r="F11" i="5"/>
  <c r="E6" i="5"/>
  <c r="F13" i="5"/>
  <c r="E8" i="5"/>
  <c r="F6" i="5"/>
  <c r="E9" i="5"/>
  <c r="E7" i="5"/>
  <c r="F5" i="5"/>
  <c r="E10" i="5"/>
  <c r="F7" i="5"/>
  <c r="E11" i="5"/>
  <c r="F8" i="5"/>
  <c r="E12" i="5"/>
  <c r="F9" i="5"/>
  <c r="D10" i="6"/>
  <c r="D9" i="6"/>
  <c r="D8" i="6"/>
  <c r="D7" i="6"/>
  <c r="E55" i="7"/>
  <c r="D47" i="7"/>
  <c r="E52" i="7"/>
  <c r="E23" i="7"/>
  <c r="E22" i="7"/>
  <c r="E21" i="7"/>
  <c r="E20" i="7"/>
  <c r="E19" i="7"/>
  <c r="I19" i="7" s="1"/>
  <c r="E18" i="7"/>
  <c r="E17" i="7"/>
  <c r="E16" i="7"/>
  <c r="E10" i="7"/>
  <c r="E9" i="7"/>
  <c r="E8" i="7"/>
  <c r="E7" i="7"/>
  <c r="E6" i="7"/>
  <c r="E5" i="7"/>
  <c r="E38" i="7"/>
  <c r="E39" i="7"/>
  <c r="E43" i="7"/>
  <c r="E41" i="7"/>
  <c r="E37" i="7"/>
  <c r="D51" i="7"/>
  <c r="D48" i="7"/>
  <c r="I24" i="7"/>
  <c r="F27" i="7"/>
  <c r="D27" i="7"/>
  <c r="E44" i="7" l="1"/>
  <c r="I10" i="7"/>
  <c r="I5" i="7"/>
  <c r="I21" i="7"/>
  <c r="I16" i="7"/>
  <c r="I49" i="7"/>
  <c r="I8" i="7"/>
  <c r="I23" i="7"/>
  <c r="I9" i="7"/>
  <c r="I18" i="7"/>
  <c r="I48" i="7"/>
  <c r="I6" i="7"/>
  <c r="I20" i="7"/>
  <c r="I22" i="7"/>
  <c r="I51" i="7"/>
  <c r="I17" i="7"/>
  <c r="I50" i="7"/>
  <c r="I7" i="7"/>
  <c r="I12" i="7"/>
  <c r="I13" i="7"/>
  <c r="I47" i="7"/>
  <c r="I11" i="7"/>
  <c r="D44" i="7"/>
  <c r="F44" i="7"/>
  <c r="G44" i="7"/>
  <c r="H44" i="7"/>
  <c r="I37" i="7"/>
  <c r="I38" i="7"/>
  <c r="I39" i="7"/>
  <c r="I40" i="7"/>
  <c r="I41" i="7"/>
  <c r="I42" i="7"/>
  <c r="I43" i="7"/>
  <c r="D35" i="7"/>
  <c r="F35" i="7"/>
  <c r="G35" i="7"/>
  <c r="H35" i="7"/>
  <c r="I29" i="7"/>
  <c r="I30" i="7"/>
  <c r="G27" i="7"/>
  <c r="H27" i="7"/>
  <c r="D14" i="7"/>
  <c r="F14" i="7"/>
  <c r="G14" i="7"/>
  <c r="H14" i="7"/>
  <c r="D33" i="6"/>
  <c r="D26" i="6"/>
  <c r="D19" i="6"/>
  <c r="D11" i="6"/>
  <c r="D46" i="7" l="1"/>
  <c r="I46" i="7" s="1"/>
  <c r="D35" i="6"/>
  <c r="E14" i="7"/>
  <c r="I14" i="7" s="1"/>
  <c r="D54" i="7"/>
  <c r="D52" i="7"/>
  <c r="F54" i="7"/>
  <c r="G54" i="7"/>
  <c r="H54" i="7"/>
  <c r="I44" i="7"/>
  <c r="I52" i="7" l="1"/>
  <c r="I34" i="7"/>
  <c r="I33" i="7"/>
  <c r="I32" i="7"/>
  <c r="I26" i="7"/>
  <c r="I55" i="7"/>
  <c r="H56" i="7"/>
  <c r="G56" i="7"/>
  <c r="F56" i="7"/>
  <c r="E35" i="7" l="1"/>
  <c r="I31" i="7"/>
  <c r="I25" i="7"/>
  <c r="E27" i="7"/>
  <c r="D56" i="7"/>
  <c r="I27" i="7" l="1"/>
  <c r="E54" i="7"/>
  <c r="E56" i="7" s="1"/>
  <c r="I35" i="7"/>
  <c r="I54" i="7" s="1"/>
  <c r="I56" i="7" s="1"/>
</calcChain>
</file>

<file path=xl/sharedStrings.xml><?xml version="1.0" encoding="utf-8"?>
<sst xmlns="http://schemas.openxmlformats.org/spreadsheetml/2006/main" count="134" uniqueCount="119">
  <si>
    <t>Procure Software</t>
  </si>
  <si>
    <t>Procure Hardware</t>
  </si>
  <si>
    <t>Perform Acceptance Test</t>
  </si>
  <si>
    <t>Perform Post Project Review</t>
  </si>
  <si>
    <t>Provide Warranty Support</t>
  </si>
  <si>
    <t>Third-Party Vendor Interface</t>
  </si>
  <si>
    <t>Quality Assurance</t>
  </si>
  <si>
    <t>Overall Project Management</t>
  </si>
  <si>
    <t>Subtotal</t>
  </si>
  <si>
    <t>PROJECT TOTAL</t>
  </si>
  <si>
    <t>Expenditures Over Time</t>
  </si>
  <si>
    <t>Projected vs. Actual Costs</t>
  </si>
  <si>
    <t>PROJECT TASKS</t>
  </si>
  <si>
    <t>Source of Project Cost</t>
  </si>
  <si>
    <t>LABOR HOURS</t>
  </si>
  <si>
    <t>LABOR COST ($)</t>
  </si>
  <si>
    <t>MATERIAL COST ($)</t>
  </si>
  <si>
    <t>TRAVEL COST ($)</t>
  </si>
  <si>
    <t>OTHER COST ($)</t>
  </si>
  <si>
    <t>TOTAL PER TASK</t>
  </si>
  <si>
    <t>Subtotals</t>
  </si>
  <si>
    <t>Risk (Contingency)</t>
  </si>
  <si>
    <t>Total (Scheduled)</t>
  </si>
  <si>
    <t>ITEM</t>
  </si>
  <si>
    <t>COST</t>
  </si>
  <si>
    <t>DATE</t>
  </si>
  <si>
    <t>REASON FOR EXPENDITURE</t>
  </si>
  <si>
    <t>Achieve Materials</t>
  </si>
  <si>
    <t>INSTALLATION</t>
  </si>
  <si>
    <t>PLANNING (RFP)</t>
  </si>
  <si>
    <t>CONSTRUCTION</t>
  </si>
  <si>
    <t>TEST &amp; DELIVERY</t>
  </si>
  <si>
    <t>PROJECTED CUMULATIVE COST</t>
  </si>
  <si>
    <t>ACTUAL CUMULATIVE COST</t>
  </si>
  <si>
    <t>CUMULATIVE COST</t>
  </si>
  <si>
    <t>Project Data Worksheet</t>
  </si>
  <si>
    <t>PROJECT
 MANAGEMENT</t>
  </si>
  <si>
    <t>PROJECT
 DELIVERY</t>
  </si>
  <si>
    <t>PROJECT
 DEVELOPMENT</t>
  </si>
  <si>
    <t>PROJECT
 DESIGN</t>
  </si>
  <si>
    <t xml:space="preserve"> </t>
  </si>
  <si>
    <t>Develop Hardware Requirements</t>
  </si>
  <si>
    <t>Develop Software Requirements</t>
  </si>
  <si>
    <t>Develop Preliminary Network Design</t>
  </si>
  <si>
    <t>Determine Computer Placement</t>
  </si>
  <si>
    <t>Develop Network Test Plan</t>
  </si>
  <si>
    <t>Develop Computer Test Plan</t>
  </si>
  <si>
    <t>Install Computers</t>
  </si>
  <si>
    <t>Install Software</t>
  </si>
  <si>
    <t>Install Security Measures</t>
  </si>
  <si>
    <t>Install Servers</t>
  </si>
  <si>
    <t>Configure Network</t>
  </si>
  <si>
    <t>Perform Device Unit/Integration Tests</t>
  </si>
  <si>
    <t>Perform Network Unit/Integration Tests</t>
  </si>
  <si>
    <t>Project Manager</t>
  </si>
  <si>
    <t>Agenda Director</t>
  </si>
  <si>
    <t>Systems Administrator</t>
  </si>
  <si>
    <t>HOURLY WAGE ($)</t>
  </si>
  <si>
    <t>TOTAL SALARY</t>
  </si>
  <si>
    <t>Network Engineer</t>
  </si>
  <si>
    <t>Software Engineer</t>
  </si>
  <si>
    <t>Testing Engineer</t>
  </si>
  <si>
    <t>SALARIES
 COST</t>
  </si>
  <si>
    <t>Research Hardware Vendors</t>
  </si>
  <si>
    <t>Research Software Vendors</t>
  </si>
  <si>
    <t>Develop Implementation Schedule</t>
  </si>
  <si>
    <t xml:space="preserve">Connect to Network </t>
  </si>
  <si>
    <t>Ensure Network Functionality</t>
  </si>
  <si>
    <t>Test Network Speeds</t>
  </si>
  <si>
    <t>Test Network Coverage</t>
  </si>
  <si>
    <t>Perform Penetration Testing</t>
  </si>
  <si>
    <t>Stakeholder Meetings</t>
  </si>
  <si>
    <t>Team Meetings</t>
  </si>
  <si>
    <t>Document Meetings &amp; Produce Reports</t>
  </si>
  <si>
    <t>Schedule Control</t>
  </si>
  <si>
    <t xml:space="preserve">Labor for testing engineer to ensure network functionality meets company needs. </t>
  </si>
  <si>
    <t>Labor for project manager to document lessons learned for future projects.</t>
  </si>
  <si>
    <t>Install Access Points/Routers/Modems</t>
  </si>
  <si>
    <t>Servers will need extended warranties which are 15% of product price.</t>
  </si>
  <si>
    <t>Delivery fees for 2 day shipping averages roughly 10%.</t>
  </si>
  <si>
    <t>WEEK</t>
  </si>
  <si>
    <t>WEEKLY COST</t>
  </si>
  <si>
    <t>ACTUAL WEEKLY COST</t>
  </si>
  <si>
    <t>PROJECTED WEEKLY COST</t>
  </si>
  <si>
    <t xml:space="preserve">Servers are needed to provide higher failover and faster access. </t>
  </si>
  <si>
    <t>Install Network Hardware</t>
  </si>
  <si>
    <t xml:space="preserve">Ethernet cables are required for connecting devices to the network. Servers are needed to provide higher failover and faster access. Access points are needed to provide sufficient coverage. </t>
  </si>
  <si>
    <t>Install Software &amp; Security</t>
  </si>
  <si>
    <t>Research</t>
  </si>
  <si>
    <t>Train Team Members</t>
  </si>
  <si>
    <t xml:space="preserve">Labor was required to thoroughly research vendors prior to committing to contracts. </t>
  </si>
  <si>
    <t>Team members required coaching to ensure quality due to lower inexperience.</t>
  </si>
  <si>
    <t>Develop Schedule</t>
  </si>
  <si>
    <t>Labor was required for the project manager and agenda director to develop a schedule to meet deadline requirements.</t>
  </si>
  <si>
    <t>Develop Device Testing Plans</t>
  </si>
  <si>
    <t>Develop Network Testing Plans</t>
  </si>
  <si>
    <t xml:space="preserve">Labor for the agenda director, systems administrator, &amp; software engineer to design test plans for computers, connected hardware, and software implemenation. </t>
  </si>
  <si>
    <t>Develop Network Design</t>
  </si>
  <si>
    <t>Labor is required to organization where cabling and access points will be installed.</t>
  </si>
  <si>
    <t>Install Patch Cabling</t>
  </si>
  <si>
    <t>Install RJ45 Jacks</t>
  </si>
  <si>
    <t xml:space="preserve">Install Switches / RJ45 Jacks </t>
  </si>
  <si>
    <t>Install Cabling / Patch Cables</t>
  </si>
  <si>
    <t>Install CAT7 Cabling</t>
  </si>
  <si>
    <t xml:space="preserve">Cabling needs to be installed throughout the 16,000 square feet of the facility. </t>
  </si>
  <si>
    <t>Patch cabling is required to connect cables and devices.</t>
  </si>
  <si>
    <t>RJ45 jacks are needed to provide connectivity with the devices on the network.</t>
  </si>
  <si>
    <t>RJ45 jacks and patch cables need to be tested for quality and connectivity.</t>
  </si>
  <si>
    <t>Review is needed to determine if and when additional RJ45 jacks or patch cabling is required.</t>
  </si>
  <si>
    <t>Test Connection Speeds</t>
  </si>
  <si>
    <t>Test Connection Zones</t>
  </si>
  <si>
    <t>Labor is required for the network to be checked for speeds.</t>
  </si>
  <si>
    <t xml:space="preserve">Labor is required for the network to be checked for where devices can connect to the network. </t>
  </si>
  <si>
    <t xml:space="preserve">The network needs to be configured to allow devices to connect to the intranet. </t>
  </si>
  <si>
    <t>Test Devices</t>
  </si>
  <si>
    <t>Test Security</t>
  </si>
  <si>
    <t xml:space="preserve">The devices need to be tested to ensure speed and software access is adequate. </t>
  </si>
  <si>
    <t>The network and devices need to be tested to ensure protection against data theft or manipulation.</t>
  </si>
  <si>
    <t xml:space="preserve">Up to 80 hours of labor needs to be set aside for possible hardware or software training and/or re-configuration.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</si>
</sst>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2" formatCode="_(&quot;$&quot;* #,##0_);_(&quot;$&quot;* \(#,##0\);_(&quot;$&quot;* &quot;-&quot;_);_(@_)"/>
    <numFmt numFmtId="164" formatCode="&quot;$&quot;#,##0.00"/>
    <numFmt numFmtId="165" formatCode="#,##0.0_);\(#,##0.0\)"/>
    <numFmt numFmtId="166" formatCode="0.0"/>
  </numFmts>
  <fonts count="21" x14ac:knownFonts="1">
    <font>
      <sz val="9"/>
      <color theme="1" tint="0.34998626667073579"/>
      <name val="Arial"/>
      <family val="2"/>
      <scheme val="minor"/>
    </font>
    <font>
      <sz val="11"/>
      <color rgb="FF3F3F76"/>
      <name val="Arial"/>
      <family val="2"/>
      <scheme val="minor"/>
    </font>
    <font>
      <sz val="10"/>
      <name val="Arial"/>
      <family val="2"/>
      <scheme val="minor"/>
    </font>
    <font>
      <b/>
      <sz val="9"/>
      <color theme="0"/>
      <name val="Arial"/>
      <family val="2"/>
    </font>
    <font>
      <b/>
      <sz val="9"/>
      <color theme="1" tint="0.34998626667073579"/>
      <name val="Arial"/>
      <family val="2"/>
      <scheme val="major"/>
    </font>
    <font>
      <b/>
      <sz val="9"/>
      <color theme="1" tint="0.34998626667073579"/>
      <name val="Arial"/>
      <family val="2"/>
    </font>
    <font>
      <b/>
      <sz val="9"/>
      <color theme="0"/>
      <name val="Arial"/>
      <family val="2"/>
      <scheme val="major"/>
    </font>
    <font>
      <sz val="9"/>
      <color theme="1" tint="0.34998626667073579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sz val="12"/>
      <color theme="1" tint="0.34998626667073579"/>
      <name val="Arial"/>
      <family val="2"/>
      <scheme val="major"/>
    </font>
    <font>
      <b/>
      <sz val="12"/>
      <color theme="1" tint="0.34998626667073579"/>
      <name val="Arial"/>
      <family val="2"/>
      <scheme val="major"/>
    </font>
    <font>
      <sz val="12"/>
      <color theme="1" tint="0.34998626667073579"/>
      <name val="Arial"/>
      <family val="2"/>
    </font>
    <font>
      <b/>
      <sz val="11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12"/>
      <name val="Arial"/>
      <family val="2"/>
      <scheme val="minor"/>
    </font>
    <font>
      <sz val="9"/>
      <color theme="1" tint="0.34998626667073579"/>
      <name val="Arial"/>
      <family val="2"/>
      <scheme val="major"/>
    </font>
    <font>
      <b/>
      <sz val="28"/>
      <color theme="1" tint="0.34998626667073579"/>
      <name val="Arial"/>
      <family val="2"/>
      <scheme val="major"/>
    </font>
    <font>
      <sz val="9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48118533890809E-2"/>
        <bgColor theme="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</borders>
  <cellStyleXfs count="5">
    <xf numFmtId="0" fontId="0" fillId="0" borderId="0">
      <alignment vertical="center"/>
    </xf>
    <xf numFmtId="0" fontId="19" fillId="0" borderId="0" applyNumberFormat="0" applyProtection="0">
      <alignment vertical="center"/>
    </xf>
    <xf numFmtId="0" fontId="4" fillId="0" borderId="0" applyNumberFormat="0" applyProtection="0">
      <alignment vertical="center"/>
    </xf>
    <xf numFmtId="0" fontId="1" fillId="2" borderId="1" applyNumberFormat="0" applyAlignment="0" applyProtection="0"/>
    <xf numFmtId="0" fontId="4" fillId="0" borderId="5" applyNumberFormat="0" applyProtection="0">
      <alignment vertical="center"/>
    </xf>
  </cellStyleXfs>
  <cellXfs count="107">
    <xf numFmtId="0" fontId="0" fillId="0" borderId="0" xfId="0">
      <alignment vertical="center"/>
    </xf>
    <xf numFmtId="0" fontId="19" fillId="0" borderId="0" xfId="1" applyAlignment="1"/>
    <xf numFmtId="0" fontId="19" fillId="0" borderId="0" xfId="1">
      <alignment vertical="center"/>
    </xf>
    <xf numFmtId="0" fontId="2" fillId="0" borderId="0" xfId="0" applyFont="1" applyAlignment="1"/>
    <xf numFmtId="0" fontId="0" fillId="0" borderId="0" xfId="0" applyBorder="1" applyAlignment="1">
      <alignment vertical="center" wrapText="1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19" fillId="0" borderId="0" xfId="1" applyBorder="1" applyAlignment="1">
      <alignment vertical="center" wrapText="1"/>
    </xf>
    <xf numFmtId="0" fontId="4" fillId="0" borderId="0" xfId="2" applyFont="1" applyBorder="1" applyAlignment="1">
      <alignment vertical="center" wrapText="1"/>
    </xf>
    <xf numFmtId="8" fontId="10" fillId="8" borderId="7" xfId="0" applyNumberFormat="1" applyFont="1" applyFill="1" applyBorder="1">
      <alignment vertical="center"/>
    </xf>
    <xf numFmtId="0" fontId="0" fillId="10" borderId="0" xfId="0" applyFill="1">
      <alignment vertical="center"/>
    </xf>
    <xf numFmtId="0" fontId="0" fillId="10" borderId="0" xfId="0" applyFill="1" applyBorder="1" applyAlignment="1">
      <alignment vertical="center" wrapText="1"/>
    </xf>
    <xf numFmtId="0" fontId="19" fillId="0" borderId="0" xfId="1" applyAlignment="1">
      <alignment horizontal="left" vertical="center" indent="1"/>
    </xf>
    <xf numFmtId="0" fontId="4" fillId="0" borderId="0" xfId="2" applyAlignment="1">
      <alignment horizontal="left" vertical="center" indent="1"/>
    </xf>
    <xf numFmtId="0" fontId="4" fillId="0" borderId="0" xfId="2" applyAlignment="1">
      <alignment horizontal="right" vertical="center" indent="1"/>
    </xf>
    <xf numFmtId="165" fontId="5" fillId="9" borderId="2" xfId="0" applyNumberFormat="1" applyFont="1" applyFill="1" applyBorder="1" applyAlignment="1">
      <alignment horizontal="right" vertical="center" wrapText="1" indent="1"/>
    </xf>
    <xf numFmtId="166" fontId="12" fillId="8" borderId="12" xfId="0" applyNumberFormat="1" applyFont="1" applyFill="1" applyBorder="1" applyAlignment="1">
      <alignment horizontal="right" vertical="center" wrapText="1" indent="1"/>
    </xf>
    <xf numFmtId="166" fontId="12" fillId="8" borderId="16" xfId="0" applyNumberFormat="1" applyFont="1" applyFill="1" applyBorder="1" applyAlignment="1">
      <alignment horizontal="right" vertical="center" wrapText="1" indent="1"/>
    </xf>
    <xf numFmtId="164" fontId="12" fillId="8" borderId="16" xfId="0" applyNumberFormat="1" applyFont="1" applyFill="1" applyBorder="1" applyAlignment="1">
      <alignment horizontal="right" vertical="center" wrapText="1" indent="1"/>
    </xf>
    <xf numFmtId="0" fontId="10" fillId="0" borderId="6" xfId="0" applyFont="1" applyFill="1" applyBorder="1" applyAlignment="1">
      <alignment horizontal="left" vertical="center" indent="1"/>
    </xf>
    <xf numFmtId="0" fontId="4" fillId="0" borderId="0" xfId="2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0" xfId="1" applyAlignment="1">
      <alignment horizontal="center" vertical="center"/>
    </xf>
    <xf numFmtId="0" fontId="0" fillId="0" borderId="0" xfId="0" applyFill="1">
      <alignment vertical="center"/>
    </xf>
    <xf numFmtId="0" fontId="19" fillId="0" borderId="0" xfId="1" applyFill="1">
      <alignment vertical="center"/>
    </xf>
    <xf numFmtId="0" fontId="4" fillId="0" borderId="5" xfId="4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37" fontId="0" fillId="0" borderId="3" xfId="3" applyNumberFormat="1" applyFont="1" applyFill="1" applyBorder="1" applyAlignment="1">
      <alignment horizontal="left" vertical="center" indent="1"/>
    </xf>
    <xf numFmtId="165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0" applyNumberFormat="1" applyFont="1" applyFill="1" applyBorder="1" applyAlignment="1">
      <alignment horizontal="right" vertical="center" wrapText="1" indent="1"/>
    </xf>
    <xf numFmtId="37" fontId="0" fillId="0" borderId="0" xfId="3" applyNumberFormat="1" applyFont="1" applyFill="1" applyBorder="1" applyAlignment="1">
      <alignment horizontal="left" vertical="center" indent="1"/>
    </xf>
    <xf numFmtId="165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0" applyNumberFormat="1" applyFont="1" applyFill="1" applyBorder="1" applyAlignment="1">
      <alignment horizontal="right" vertical="center" wrapText="1" indent="1"/>
    </xf>
    <xf numFmtId="0" fontId="5" fillId="0" borderId="2" xfId="0" applyFont="1" applyFill="1" applyBorder="1" applyAlignment="1">
      <alignment horizontal="left" vertical="center" wrapText="1" indent="1"/>
    </xf>
    <xf numFmtId="49" fontId="0" fillId="0" borderId="3" xfId="0" applyNumberFormat="1" applyFont="1" applyFill="1" applyBorder="1" applyAlignment="1">
      <alignment horizontal="left" vertical="center" wrapText="1" indent="1"/>
    </xf>
    <xf numFmtId="49" fontId="0" fillId="0" borderId="0" xfId="0" applyNumberFormat="1" applyFont="1" applyFill="1" applyBorder="1" applyAlignment="1">
      <alignment horizontal="left" vertical="center" wrapText="1" indent="1"/>
    </xf>
    <xf numFmtId="0" fontId="14" fillId="0" borderId="11" xfId="0" applyFont="1" applyFill="1" applyBorder="1" applyAlignment="1">
      <alignment horizontal="left" vertical="center" indent="1"/>
    </xf>
    <xf numFmtId="0" fontId="15" fillId="0" borderId="11" xfId="0" applyFont="1" applyFill="1" applyBorder="1" applyAlignment="1">
      <alignment vertical="center" wrapText="1"/>
    </xf>
    <xf numFmtId="0" fontId="16" fillId="0" borderId="13" xfId="0" applyFont="1" applyFill="1" applyBorder="1" applyAlignment="1">
      <alignment horizontal="left" vertical="center" indent="1"/>
    </xf>
    <xf numFmtId="0" fontId="17" fillId="0" borderId="14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horizontal="left" vertical="center" indent="1"/>
    </xf>
    <xf numFmtId="0" fontId="15" fillId="0" borderId="15" xfId="0" applyFont="1" applyFill="1" applyBorder="1" applyAlignment="1">
      <alignment vertical="center" wrapText="1"/>
    </xf>
    <xf numFmtId="166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2" fillId="0" borderId="14" xfId="0" applyNumberFormat="1" applyFont="1" applyFill="1" applyBorder="1" applyAlignment="1">
      <alignment horizontal="right" vertical="center" wrapText="1" indent="1"/>
    </xf>
    <xf numFmtId="8" fontId="7" fillId="0" borderId="3" xfId="0" applyNumberFormat="1" applyFont="1" applyFill="1" applyBorder="1" applyAlignment="1">
      <alignment horizontal="right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 indent="1"/>
    </xf>
    <xf numFmtId="8" fontId="7" fillId="0" borderId="0" xfId="0" applyNumberFormat="1" applyFont="1" applyFill="1" applyBorder="1" applyAlignment="1">
      <alignment horizontal="right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left" vertical="center" wrapText="1" inden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9" fillId="0" borderId="7" xfId="0" applyFont="1" applyFill="1" applyBorder="1">
      <alignment vertical="center"/>
    </xf>
    <xf numFmtId="0" fontId="11" fillId="0" borderId="7" xfId="0" applyFont="1" applyFill="1" applyBorder="1">
      <alignment vertical="center"/>
    </xf>
    <xf numFmtId="0" fontId="11" fillId="0" borderId="7" xfId="0" applyFont="1" applyFill="1" applyBorder="1" applyAlignment="1">
      <alignment vertical="center" wrapText="1"/>
    </xf>
    <xf numFmtId="8" fontId="8" fillId="11" borderId="2" xfId="0" applyNumberFormat="1" applyFont="1" applyFill="1" applyBorder="1" applyAlignment="1">
      <alignment horizontal="right" vertical="center"/>
    </xf>
    <xf numFmtId="0" fontId="19" fillId="0" borderId="0" xfId="1" applyFill="1" applyAlignment="1" applyProtection="1">
      <alignment horizontal="left" vertical="center" indent="1"/>
    </xf>
    <xf numFmtId="0" fontId="18" fillId="0" borderId="0" xfId="0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right" vertical="center" wrapText="1" indent="1"/>
    </xf>
    <xf numFmtId="164" fontId="12" fillId="8" borderId="12" xfId="0" applyNumberFormat="1" applyFont="1" applyFill="1" applyBorder="1" applyAlignment="1">
      <alignment horizontal="right" vertical="center" wrapText="1" indent="1"/>
    </xf>
    <xf numFmtId="0" fontId="8" fillId="0" borderId="0" xfId="0" applyFont="1">
      <alignment vertical="center"/>
    </xf>
    <xf numFmtId="0" fontId="8" fillId="0" borderId="0" xfId="0" applyFont="1" applyAlignment="1"/>
    <xf numFmtId="0" fontId="0" fillId="0" borderId="3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 wrapText="1" indent="1"/>
    </xf>
    <xf numFmtId="14" fontId="0" fillId="0" borderId="0" xfId="0" applyNumberFormat="1" applyFont="1" applyFill="1" applyBorder="1" applyAlignment="1">
      <alignment horizontal="center" vertical="center"/>
    </xf>
    <xf numFmtId="8" fontId="0" fillId="0" borderId="3" xfId="0" applyNumberFormat="1" applyFont="1" applyFill="1" applyBorder="1" applyAlignment="1">
      <alignment horizontal="right" vertical="center"/>
    </xf>
    <xf numFmtId="165" fontId="20" fillId="0" borderId="0" xfId="3" applyNumberFormat="1" applyFont="1" applyFill="1" applyBorder="1" applyAlignment="1">
      <alignment horizontal="right" vertical="center" wrapText="1" indent="1"/>
    </xf>
    <xf numFmtId="8" fontId="20" fillId="0" borderId="3" xfId="0" applyNumberFormat="1" applyFont="1" applyFill="1" applyBorder="1" applyAlignment="1">
      <alignment horizontal="right" vertical="center"/>
    </xf>
    <xf numFmtId="8" fontId="20" fillId="0" borderId="0" xfId="0" applyNumberFormat="1" applyFont="1" applyFill="1" applyBorder="1" applyAlignment="1">
      <alignment horizontal="right" vertical="center"/>
    </xf>
    <xf numFmtId="164" fontId="20" fillId="0" borderId="0" xfId="0" applyNumberFormat="1" applyFont="1" applyFill="1" applyBorder="1" applyAlignment="1">
      <alignment horizontal="center" vertical="center"/>
    </xf>
    <xf numFmtId="42" fontId="3" fillId="7" borderId="8" xfId="0" applyNumberFormat="1" applyFont="1" applyFill="1" applyBorder="1" applyAlignment="1">
      <alignment horizontal="center" textRotation="90" wrapText="1"/>
    </xf>
    <xf numFmtId="42" fontId="3" fillId="7" borderId="9" xfId="0" applyNumberFormat="1" applyFont="1" applyFill="1" applyBorder="1" applyAlignment="1">
      <alignment horizontal="center" textRotation="90" wrapText="1"/>
    </xf>
    <xf numFmtId="42" fontId="3" fillId="7" borderId="10" xfId="0" applyNumberFormat="1" applyFont="1" applyFill="1" applyBorder="1" applyAlignment="1">
      <alignment horizontal="center" textRotation="90" wrapText="1"/>
    </xf>
    <xf numFmtId="42" fontId="3" fillId="5" borderId="8" xfId="0" applyNumberFormat="1" applyFont="1" applyFill="1" applyBorder="1" applyAlignment="1">
      <alignment horizontal="center" textRotation="90" wrapText="1"/>
    </xf>
    <xf numFmtId="42" fontId="3" fillId="5" borderId="9" xfId="0" applyNumberFormat="1" applyFont="1" applyFill="1" applyBorder="1" applyAlignment="1">
      <alignment horizontal="center" textRotation="90" wrapText="1"/>
    </xf>
    <xf numFmtId="42" fontId="3" fillId="5" borderId="10" xfId="0" applyNumberFormat="1" applyFont="1" applyFill="1" applyBorder="1" applyAlignment="1">
      <alignment horizontal="center" textRotation="90" wrapText="1"/>
    </xf>
    <xf numFmtId="42" fontId="3" fillId="6" borderId="8" xfId="0" applyNumberFormat="1" applyFont="1" applyFill="1" applyBorder="1" applyAlignment="1">
      <alignment horizontal="center" textRotation="90" wrapText="1"/>
    </xf>
    <xf numFmtId="42" fontId="3" fillId="6" borderId="9" xfId="0" applyNumberFormat="1" applyFont="1" applyFill="1" applyBorder="1" applyAlignment="1">
      <alignment horizontal="center" textRotation="90" wrapText="1"/>
    </xf>
    <xf numFmtId="42" fontId="3" fillId="6" borderId="10" xfId="0" applyNumberFormat="1" applyFont="1" applyFill="1" applyBorder="1" applyAlignment="1">
      <alignment horizontal="center" textRotation="90" wrapText="1"/>
    </xf>
    <xf numFmtId="42" fontId="3" fillId="3" borderId="8" xfId="0" applyNumberFormat="1" applyFont="1" applyFill="1" applyBorder="1" applyAlignment="1">
      <alignment horizontal="center" textRotation="90" wrapText="1"/>
    </xf>
    <xf numFmtId="42" fontId="3" fillId="3" borderId="9" xfId="0" applyNumberFormat="1" applyFont="1" applyFill="1" applyBorder="1" applyAlignment="1">
      <alignment horizontal="center" textRotation="90" wrapText="1"/>
    </xf>
    <xf numFmtId="42" fontId="3" fillId="3" borderId="10" xfId="0" applyNumberFormat="1" applyFont="1" applyFill="1" applyBorder="1" applyAlignment="1">
      <alignment horizontal="center" textRotation="90" wrapText="1"/>
    </xf>
    <xf numFmtId="42" fontId="3" fillId="4" borderId="8" xfId="0" applyNumberFormat="1" applyFont="1" applyFill="1" applyBorder="1" applyAlignment="1">
      <alignment horizontal="center" textRotation="90" wrapText="1"/>
    </xf>
    <xf numFmtId="42" fontId="3" fillId="4" borderId="9" xfId="0" applyNumberFormat="1" applyFont="1" applyFill="1" applyBorder="1" applyAlignment="1">
      <alignment horizontal="center" textRotation="90" wrapText="1"/>
    </xf>
    <xf numFmtId="42" fontId="3" fillId="4" borderId="10" xfId="0" applyNumberFormat="1" applyFont="1" applyFill="1" applyBorder="1" applyAlignment="1">
      <alignment horizontal="center" textRotation="90" wrapText="1"/>
    </xf>
    <xf numFmtId="42" fontId="6" fillId="3" borderId="8" xfId="0" applyNumberFormat="1" applyFont="1" applyFill="1" applyBorder="1" applyAlignment="1">
      <alignment horizontal="left" textRotation="90" wrapText="1"/>
    </xf>
    <xf numFmtId="42" fontId="6" fillId="3" borderId="9" xfId="0" applyNumberFormat="1" applyFont="1" applyFill="1" applyBorder="1" applyAlignment="1">
      <alignment horizontal="left" textRotation="90" wrapText="1"/>
    </xf>
    <xf numFmtId="42" fontId="6" fillId="3" borderId="10" xfId="0" applyNumberFormat="1" applyFont="1" applyFill="1" applyBorder="1" applyAlignment="1">
      <alignment horizontal="left" textRotation="90" wrapText="1"/>
    </xf>
    <xf numFmtId="42" fontId="6" fillId="4" borderId="8" xfId="0" applyNumberFormat="1" applyFont="1" applyFill="1" applyBorder="1" applyAlignment="1">
      <alignment horizontal="center" textRotation="90" wrapText="1"/>
    </xf>
    <xf numFmtId="42" fontId="6" fillId="4" borderId="9" xfId="0" applyNumberFormat="1" applyFont="1" applyFill="1" applyBorder="1" applyAlignment="1">
      <alignment horizontal="center" textRotation="90" wrapText="1"/>
    </xf>
    <xf numFmtId="42" fontId="6" fillId="4" borderId="10" xfId="0" applyNumberFormat="1" applyFont="1" applyFill="1" applyBorder="1" applyAlignment="1">
      <alignment horizontal="center" textRotation="90" wrapText="1"/>
    </xf>
    <xf numFmtId="42" fontId="6" fillId="6" borderId="8" xfId="0" applyNumberFormat="1" applyFont="1" applyFill="1" applyBorder="1" applyAlignment="1">
      <alignment horizontal="center" textRotation="90" wrapText="1"/>
    </xf>
    <xf numFmtId="42" fontId="6" fillId="6" borderId="9" xfId="0" applyNumberFormat="1" applyFont="1" applyFill="1" applyBorder="1" applyAlignment="1">
      <alignment horizontal="center" textRotation="90" wrapText="1"/>
    </xf>
    <xf numFmtId="42" fontId="6" fillId="6" borderId="10" xfId="0" applyNumberFormat="1" applyFont="1" applyFill="1" applyBorder="1" applyAlignment="1">
      <alignment horizontal="center" textRotation="90" wrapText="1"/>
    </xf>
    <xf numFmtId="42" fontId="6" fillId="7" borderId="8" xfId="0" applyNumberFormat="1" applyFont="1" applyFill="1" applyBorder="1" applyAlignment="1">
      <alignment horizontal="center" textRotation="90" wrapText="1"/>
    </xf>
    <xf numFmtId="42" fontId="6" fillId="7" borderId="9" xfId="0" applyNumberFormat="1" applyFont="1" applyFill="1" applyBorder="1" applyAlignment="1">
      <alignment horizontal="center" textRotation="90" wrapText="1"/>
    </xf>
    <xf numFmtId="42" fontId="6" fillId="7" borderId="10" xfId="0" applyNumberFormat="1" applyFont="1" applyFill="1" applyBorder="1" applyAlignment="1">
      <alignment horizontal="center" textRotation="90" wrapText="1"/>
    </xf>
  </cellXfs>
  <cellStyles count="5">
    <cellStyle name="Heading 1" xfId="1" builtinId="16" customBuiltin="1"/>
    <cellStyle name="Heading 2" xfId="2" builtinId="17" customBuiltin="1"/>
    <cellStyle name="Heading 3" xfId="4" builtinId="18" customBuiltin="1"/>
    <cellStyle name="Input" xfId="3" builtinId="20"/>
    <cellStyle name="Normal" xfId="0" builtinId="0" customBuiltin="1"/>
  </cellStyles>
  <dxfs count="1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trike val="0"/>
        <outline val="0"/>
        <shadow val="0"/>
        <u val="none"/>
        <vertAlign val="baseline"/>
        <sz val="9"/>
        <color theme="1" tint="0.34998626667073579"/>
        <name val="Arial"/>
        <scheme val="major"/>
      </font>
    </dxf>
    <dxf>
      <fill>
        <patternFill>
          <bgColor theme="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theme="1" tint="0.34998626667073579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34998626667073579"/>
      </font>
      <fill>
        <patternFill>
          <bgColor theme="2" tint="-9.9948118533890809E-2"/>
        </patternFill>
      </fill>
      <border>
        <top style="thin">
          <color theme="0" tint="-0.24994659260841701"/>
        </top>
        <bottom style="medium">
          <color theme="1" tint="0.499984740745262"/>
        </bottom>
      </border>
    </dxf>
    <dxf>
      <font>
        <b/>
        <i val="0"/>
        <color theme="1" tint="0.34998626667073579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1" tint="0.499984740745262"/>
        </bottom>
        <vertical/>
        <horizontal/>
      </border>
    </dxf>
    <dxf>
      <font>
        <b val="0"/>
        <i val="0"/>
        <color theme="1" tint="0.34998626667073579"/>
      </font>
      <fill>
        <patternFill patternType="none">
          <bgColor auto="1"/>
        </patternFill>
      </fill>
      <border diagonalUp="0" diagonalDown="0">
        <left style="medium">
          <color theme="1" tint="0.499984740745262"/>
        </left>
        <right/>
        <top style="medium">
          <color theme="1" tint="0.499984740745262"/>
        </top>
        <bottom style="medium">
          <color theme="1" tint="0.499984740745262"/>
        </bottom>
        <vertical/>
        <horizontal/>
      </border>
    </dxf>
  </dxfs>
  <tableStyles count="1" defaultTableStyle="TableStyleMedium2" defaultPivotStyle="PivotStyleLight16">
    <tableStyle name="Project Budget" pivot="0" count="6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firstTotalCell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Worksheet'!$F$4</c:f>
              <c:strCache>
                <c:ptCount val="1"/>
                <c:pt idx="0">
                  <c:v>ACTUAL CUMULATIVE COST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'Data Worksheet'!$F$5:$F$13</c:f>
              <c:numCache>
                <c:formatCode>"$"#,##0.00</c:formatCode>
                <c:ptCount val="9"/>
                <c:pt idx="0">
                  <c:v>265165</c:v>
                </c:pt>
                <c:pt idx="1">
                  <c:v>269040</c:v>
                </c:pt>
                <c:pt idx="2">
                  <c:v>272941</c:v>
                </c:pt>
                <c:pt idx="3">
                  <c:v>294408</c:v>
                </c:pt>
                <c:pt idx="4">
                  <c:v>331945</c:v>
                </c:pt>
                <c:pt idx="5">
                  <c:v>351911</c:v>
                </c:pt>
                <c:pt idx="6">
                  <c:v>356191</c:v>
                </c:pt>
                <c:pt idx="7">
                  <c:v>360903</c:v>
                </c:pt>
                <c:pt idx="8">
                  <c:v>364203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3-4CB5-8DFA-C8453EFFF5AF}"/>
            </c:ext>
          </c:extLst>
        </c:ser>
        <c:ser>
          <c:idx val="0"/>
          <c:order val="1"/>
          <c:tx>
            <c:strRef>
              <c:f>'Data Worksheet'!$E$4</c:f>
              <c:strCache>
                <c:ptCount val="1"/>
                <c:pt idx="0">
                  <c:v>PROJECTED CUMULATIVE COST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'Data Worksheet'!$E$5:$E$13</c:f>
              <c:numCache>
                <c:formatCode>"$"#,##0.00</c:formatCode>
                <c:ptCount val="9"/>
                <c:pt idx="0">
                  <c:v>262505</c:v>
                </c:pt>
                <c:pt idx="1">
                  <c:v>264055</c:v>
                </c:pt>
                <c:pt idx="2">
                  <c:v>265700</c:v>
                </c:pt>
                <c:pt idx="3">
                  <c:v>283527</c:v>
                </c:pt>
                <c:pt idx="4">
                  <c:v>337166</c:v>
                </c:pt>
                <c:pt idx="5">
                  <c:v>337886</c:v>
                </c:pt>
                <c:pt idx="6">
                  <c:v>340486</c:v>
                </c:pt>
                <c:pt idx="7">
                  <c:v>343086</c:v>
                </c:pt>
                <c:pt idx="8">
                  <c:v>344706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63-4CB5-8DFA-C8453EFF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59552"/>
        <c:axId val="69174400"/>
      </c:lineChart>
      <c:catAx>
        <c:axId val="6915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OF PROJECT</a:t>
                </a:r>
              </a:p>
            </c:rich>
          </c:tx>
          <c:layout>
            <c:manualLayout>
              <c:xMode val="edge"/>
              <c:yMode val="edge"/>
              <c:x val="0.42727293599218141"/>
              <c:y val="0.86313320209973754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69174400"/>
        <c:crosses val="autoZero"/>
        <c:auto val="1"/>
        <c:lblAlgn val="ctr"/>
        <c:lblOffset val="100"/>
        <c:noMultiLvlLbl val="0"/>
      </c:catAx>
      <c:valAx>
        <c:axId val="69174400"/>
        <c:scaling>
          <c:orientation val="minMax"/>
          <c:max val="500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2.7378504920208364E-3"/>
              <c:y val="0.29153944298629336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crossAx val="69159552"/>
        <c:crosses val="autoZero"/>
        <c:crossBetween val="between"/>
        <c:majorUnit val="50000"/>
      </c:valAx>
      <c:spPr>
        <a:noFill/>
      </c:spPr>
    </c:plotArea>
    <c:legend>
      <c:legendPos val="b"/>
      <c:layout>
        <c:manualLayout>
          <c:xMode val="edge"/>
          <c:yMode val="edge"/>
          <c:x val="0.72155510770261899"/>
          <c:y val="0.82841097987751533"/>
          <c:w val="0.2659930620281587"/>
          <c:h val="0.10677420530766987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pc="10" baseline="0"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Worksheet'!$D$4</c:f>
              <c:strCache>
                <c:ptCount val="1"/>
                <c:pt idx="0">
                  <c:v>ACTUAL WEEKLY COST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'Data Worksheet'!$B$5:$B$13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'Data Worksheet'!$D$5:$D$13</c:f>
              <c:numCache>
                <c:formatCode>"$"#,##0.00</c:formatCode>
                <c:ptCount val="9"/>
                <c:pt idx="0">
                  <c:v>265165</c:v>
                </c:pt>
                <c:pt idx="1">
                  <c:v>3875</c:v>
                </c:pt>
                <c:pt idx="2">
                  <c:v>3901</c:v>
                </c:pt>
                <c:pt idx="3">
                  <c:v>21467</c:v>
                </c:pt>
                <c:pt idx="4">
                  <c:v>55103</c:v>
                </c:pt>
                <c:pt idx="5">
                  <c:v>2400</c:v>
                </c:pt>
                <c:pt idx="6">
                  <c:v>4280</c:v>
                </c:pt>
                <c:pt idx="7">
                  <c:v>4712</c:v>
                </c:pt>
                <c:pt idx="8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5-4B3C-9A17-2294816F0CA2}"/>
            </c:ext>
          </c:extLst>
        </c:ser>
        <c:ser>
          <c:idx val="0"/>
          <c:order val="1"/>
          <c:tx>
            <c:strRef>
              <c:f>'Data Worksheet'!$C$4</c:f>
              <c:strCache>
                <c:ptCount val="1"/>
                <c:pt idx="0">
                  <c:v>PROJECTED WEEKLY COST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'Data Worksheet'!$B$5:$B$13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'Data Worksheet'!$C$5:$C$13</c:f>
              <c:numCache>
                <c:formatCode>"$"#,##0.00</c:formatCode>
                <c:ptCount val="9"/>
                <c:pt idx="0">
                  <c:v>262505</c:v>
                </c:pt>
                <c:pt idx="1">
                  <c:v>1550</c:v>
                </c:pt>
                <c:pt idx="2">
                  <c:v>1645</c:v>
                </c:pt>
                <c:pt idx="3">
                  <c:v>17827</c:v>
                </c:pt>
                <c:pt idx="4">
                  <c:v>53639</c:v>
                </c:pt>
                <c:pt idx="5">
                  <c:v>720</c:v>
                </c:pt>
                <c:pt idx="6">
                  <c:v>2600</c:v>
                </c:pt>
                <c:pt idx="7">
                  <c:v>2600</c:v>
                </c:pt>
                <c:pt idx="8">
                  <c:v>1620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5-4B3C-9A17-2294816F0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03456"/>
        <c:axId val="87826432"/>
      </c:lineChart>
      <c:catAx>
        <c:axId val="6920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1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OF PROJECT</a:t>
                </a:r>
              </a:p>
            </c:rich>
          </c:tx>
          <c:layout>
            <c:manualLayout>
              <c:xMode val="edge"/>
              <c:yMode val="edge"/>
              <c:x val="0.43274868362193947"/>
              <c:y val="0.845152349035955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1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1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6432"/>
        <c:crosses val="autoZero"/>
        <c:auto val="1"/>
        <c:lblAlgn val="ctr"/>
        <c:lblOffset val="100"/>
        <c:noMultiLvlLbl val="0"/>
      </c:catAx>
      <c:valAx>
        <c:axId val="8782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1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0"/>
              <c:y val="0.29928186060075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1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spc="1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3456"/>
        <c:crosses val="autoZero"/>
        <c:crossBetween val="between"/>
        <c:majorUnit val="50000"/>
        <c:minorUnit val="1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112445903194344"/>
          <c:y val="0.81485727778837336"/>
          <c:w val="0.26289770246891625"/>
          <c:h val="0.12343550481795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1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000" spc="10" baseline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27</xdr:row>
      <xdr:rowOff>0</xdr:rowOff>
    </xdr:from>
    <xdr:to>
      <xdr:col>16</xdr:col>
      <xdr:colOff>133350</xdr:colOff>
      <xdr:row>45</xdr:row>
      <xdr:rowOff>0</xdr:rowOff>
    </xdr:to>
    <xdr:graphicFrame macro="">
      <xdr:nvGraphicFramePr>
        <xdr:cNvPr id="3" name="chtCumulativeCost" descr="Line chart showing actual versus projected cumulative costs." title="Cumulative Co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5</xdr:row>
      <xdr:rowOff>152399</xdr:rowOff>
    </xdr:from>
    <xdr:to>
      <xdr:col>16</xdr:col>
      <xdr:colOff>133349</xdr:colOff>
      <xdr:row>23</xdr:row>
      <xdr:rowOff>152399</xdr:rowOff>
    </xdr:to>
    <xdr:graphicFrame macro="">
      <xdr:nvGraphicFramePr>
        <xdr:cNvPr id="4" name="chtMonthlyCost" descr="Line chart showing actual versus projected monthly cost." title="Monthly Cos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sts" displayName="tblCosts" ref="B4:F13" totalsRowShown="0" headerRowDxfId="3">
  <autoFilter ref="B4:F13" xr:uid="{00000000-0009-0000-0100-000001000000}"/>
  <tableColumns count="5">
    <tableColumn id="1" xr3:uid="{00000000-0010-0000-0000-000001000000}" name="WEEK"/>
    <tableColumn id="2" xr3:uid="{00000000-0010-0000-0000-000002000000}" name="PROJECTED WEEKLY COST"/>
    <tableColumn id="4" xr3:uid="{00000000-0010-0000-0000-000004000000}" name="ACTUAL WEEKLY COST" dataDxfId="2">
      <calculatedColumnFormula>(250000 + 10525)+(50 * 40 + 10 * 30)+(36 * 25)+(40 * 36)</calculatedColumnFormula>
    </tableColumn>
    <tableColumn id="3" xr3:uid="{00000000-0010-0000-0000-000003000000}" name="PROJECTED CUMULATIVE COST" dataDxfId="1">
      <calculatedColumnFormula>C5</calculatedColumnFormula>
    </tableColumn>
    <tableColumn id="5" xr3:uid="{00000000-0010-0000-0000-000005000000}" name="ACTUAL CUMULATIVE COST" dataDxfId="0">
      <calculatedColumnFormula>D5</calculatedColumnFormula>
    </tableColumn>
  </tableColumns>
  <tableStyleInfo name="Project Budget" showFirstColumn="0" showLastColumn="0" showRowStripes="1" showColumnStripes="0"/>
  <extLst>
    <ext xmlns:x14="http://schemas.microsoft.com/office/spreadsheetml/2009/9/main" uri="{504A1905-F514-4f6f-8877-14C23A59335A}">
      <x14:table altText="Project Data Worksheet" altTextSummary="Enter the projected, actual &amp; cumulative costs here and it will be charted on the Cumulative Project Costs sheet."/>
    </ext>
  </extLst>
</table>
</file>

<file path=xl/theme/theme1.xml><?xml version="1.0" encoding="utf-8"?>
<a:theme xmlns:a="http://schemas.openxmlformats.org/drawingml/2006/main" name="Office Theme">
  <a:themeElements>
    <a:clrScheme name="Project Budget">
      <a:dk1>
        <a:srgbClr val="000000"/>
      </a:dk1>
      <a:lt1>
        <a:srgbClr val="FFFFFF"/>
      </a:lt1>
      <a:dk2>
        <a:srgbClr val="510B0C"/>
      </a:dk2>
      <a:lt2>
        <a:srgbClr val="FCFAF3"/>
      </a:lt2>
      <a:accent1>
        <a:srgbClr val="E8A52E"/>
      </a:accent1>
      <a:accent2>
        <a:srgbClr val="44A5C4"/>
      </a:accent2>
      <a:accent3>
        <a:srgbClr val="F17724"/>
      </a:accent3>
      <a:accent4>
        <a:srgbClr val="C1272D"/>
      </a:accent4>
      <a:accent5>
        <a:srgbClr val="57B09A"/>
      </a:accent5>
      <a:accent6>
        <a:srgbClr val="902154"/>
      </a:accent6>
      <a:hlink>
        <a:srgbClr val="44A5C4"/>
      </a:hlink>
      <a:folHlink>
        <a:srgbClr val="902154"/>
      </a:folHlink>
    </a:clrScheme>
    <a:fontScheme name="Project Budge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I56"/>
  <sheetViews>
    <sheetView showGridLines="0" topLeftCell="B1" zoomScale="110" zoomScaleNormal="110" workbookViewId="0">
      <pane ySplit="4" topLeftCell="A46" activePane="bottomLeft" state="frozen"/>
      <selection pane="bottomLeft" activeCell="I54" sqref="I54"/>
    </sheetView>
  </sheetViews>
  <sheetFormatPr defaultRowHeight="16.5" customHeight="1" x14ac:dyDescent="0.2"/>
  <cols>
    <col min="1" max="1" width="2.7109375" customWidth="1"/>
    <col min="2" max="2" width="5.42578125" customWidth="1"/>
    <col min="3" max="3" width="36.5703125" bestFit="1" customWidth="1"/>
    <col min="4" max="4" width="17.42578125" customWidth="1"/>
    <col min="5" max="5" width="21.5703125" bestFit="1" customWidth="1"/>
    <col min="6" max="6" width="24.140625" bestFit="1" customWidth="1"/>
    <col min="7" max="7" width="21.7109375" bestFit="1" customWidth="1"/>
    <col min="8" max="8" width="20.42578125" bestFit="1" customWidth="1"/>
    <col min="9" max="9" width="21.85546875" bestFit="1" customWidth="1"/>
    <col min="10" max="10" width="2.7109375" customWidth="1"/>
  </cols>
  <sheetData>
    <row r="1" spans="2:9" ht="6.75" customHeight="1" x14ac:dyDescent="0.2">
      <c r="B1" s="13"/>
      <c r="C1" s="13"/>
      <c r="D1" s="13"/>
      <c r="E1" s="13"/>
      <c r="F1" s="13"/>
      <c r="G1" s="14"/>
      <c r="H1" s="14"/>
      <c r="I1" s="14"/>
    </row>
    <row r="2" spans="2:9" ht="42" customHeight="1" x14ac:dyDescent="0.2">
      <c r="B2" s="2" t="s">
        <v>13</v>
      </c>
      <c r="E2" s="2"/>
      <c r="F2" s="2"/>
      <c r="G2" s="10"/>
    </row>
    <row r="3" spans="2:9" ht="16.5" customHeight="1" x14ac:dyDescent="0.2">
      <c r="B3" s="15"/>
      <c r="E3" s="2"/>
      <c r="F3" s="2"/>
      <c r="G3" s="10"/>
    </row>
    <row r="4" spans="2:9" ht="16.5" customHeight="1" thickBot="1" x14ac:dyDescent="0.25">
      <c r="C4" s="16" t="s">
        <v>12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</row>
    <row r="5" spans="2:9" ht="16.5" customHeight="1" x14ac:dyDescent="0.2">
      <c r="B5" s="89" t="s">
        <v>39</v>
      </c>
      <c r="C5" s="32" t="s">
        <v>41</v>
      </c>
      <c r="D5" s="33">
        <v>5</v>
      </c>
      <c r="E5" s="34">
        <f>D5*E47</f>
        <v>150</v>
      </c>
      <c r="F5" s="34"/>
      <c r="G5" s="34"/>
      <c r="H5" s="34"/>
      <c r="I5" s="35">
        <f t="shared" ref="I5:I14" si="0">SUM(E5:H5)</f>
        <v>150</v>
      </c>
    </row>
    <row r="6" spans="2:9" ht="16.5" customHeight="1" x14ac:dyDescent="0.2">
      <c r="B6" s="90"/>
      <c r="C6" s="36" t="s">
        <v>42</v>
      </c>
      <c r="D6" s="37">
        <v>5</v>
      </c>
      <c r="E6" s="38">
        <f>D6*E47</f>
        <v>150</v>
      </c>
      <c r="F6" s="38"/>
      <c r="G6" s="38"/>
      <c r="H6" s="38"/>
      <c r="I6" s="39">
        <f t="shared" si="0"/>
        <v>150</v>
      </c>
    </row>
    <row r="7" spans="2:9" ht="16.5" customHeight="1" x14ac:dyDescent="0.2">
      <c r="B7" s="90"/>
      <c r="C7" s="36" t="s">
        <v>64</v>
      </c>
      <c r="D7" s="37">
        <v>10</v>
      </c>
      <c r="E7" s="38">
        <f>D7*E50</f>
        <v>370</v>
      </c>
      <c r="F7" s="38"/>
      <c r="G7" s="38"/>
      <c r="H7" s="38"/>
      <c r="I7" s="39">
        <f t="shared" si="0"/>
        <v>370</v>
      </c>
    </row>
    <row r="8" spans="2:9" ht="16.5" customHeight="1" x14ac:dyDescent="0.2">
      <c r="B8" s="90"/>
      <c r="C8" s="36" t="s">
        <v>63</v>
      </c>
      <c r="D8" s="37">
        <v>10</v>
      </c>
      <c r="E8" s="38">
        <f>D8*E49</f>
        <v>360</v>
      </c>
      <c r="F8" s="38"/>
      <c r="G8" s="38"/>
      <c r="H8" s="38"/>
      <c r="I8" s="39">
        <f t="shared" si="0"/>
        <v>360</v>
      </c>
    </row>
    <row r="9" spans="2:9" ht="16.5" customHeight="1" x14ac:dyDescent="0.2">
      <c r="B9" s="90"/>
      <c r="C9" s="36" t="s">
        <v>43</v>
      </c>
      <c r="D9" s="37">
        <v>16</v>
      </c>
      <c r="E9" s="38">
        <f>D9*E49</f>
        <v>576</v>
      </c>
      <c r="F9" s="38"/>
      <c r="G9" s="38"/>
      <c r="H9" s="38"/>
      <c r="I9" s="39">
        <f t="shared" si="0"/>
        <v>576</v>
      </c>
    </row>
    <row r="10" spans="2:9" ht="16.5" customHeight="1" x14ac:dyDescent="0.2">
      <c r="B10" s="90"/>
      <c r="C10" s="36" t="s">
        <v>44</v>
      </c>
      <c r="D10" s="37">
        <v>5</v>
      </c>
      <c r="E10" s="38">
        <f>D10*E47+D10*E50</f>
        <v>335</v>
      </c>
      <c r="F10" s="38"/>
      <c r="G10" s="38"/>
      <c r="H10" s="38"/>
      <c r="I10" s="39">
        <f t="shared" si="0"/>
        <v>335</v>
      </c>
    </row>
    <row r="11" spans="2:9" ht="16.5" customHeight="1" x14ac:dyDescent="0.2">
      <c r="B11" s="90"/>
      <c r="C11" s="36" t="s">
        <v>65</v>
      </c>
      <c r="D11" s="37">
        <v>40</v>
      </c>
      <c r="E11" s="38">
        <f>D11*E47+D11*E48</f>
        <v>2200</v>
      </c>
      <c r="F11" s="38"/>
      <c r="G11" s="38"/>
      <c r="H11" s="38"/>
      <c r="I11" s="39">
        <f t="shared" si="0"/>
        <v>2200</v>
      </c>
    </row>
    <row r="12" spans="2:9" ht="16.5" customHeight="1" x14ac:dyDescent="0.2">
      <c r="B12" s="90"/>
      <c r="C12" s="36" t="s">
        <v>46</v>
      </c>
      <c r="D12" s="37">
        <v>8</v>
      </c>
      <c r="E12" s="38">
        <f>D12*E47+D12*E51+D12*E50+D12*E48</f>
        <v>968</v>
      </c>
      <c r="F12" s="38"/>
      <c r="G12" s="38"/>
      <c r="H12" s="38"/>
      <c r="I12" s="39">
        <f t="shared" si="0"/>
        <v>968</v>
      </c>
    </row>
    <row r="13" spans="2:9" ht="16.5" customHeight="1" x14ac:dyDescent="0.2">
      <c r="B13" s="90"/>
      <c r="C13" s="36" t="s">
        <v>45</v>
      </c>
      <c r="D13" s="37">
        <v>24</v>
      </c>
      <c r="E13" s="38">
        <f>D13*E49+D13*E50</f>
        <v>1752</v>
      </c>
      <c r="F13" s="38"/>
      <c r="G13" s="38"/>
      <c r="H13" s="38"/>
      <c r="I13" s="39">
        <f t="shared" si="0"/>
        <v>1752</v>
      </c>
    </row>
    <row r="14" spans="2:9" ht="16.5" customHeight="1" thickBot="1" x14ac:dyDescent="0.25">
      <c r="B14" s="91"/>
      <c r="C14" s="40" t="s">
        <v>8</v>
      </c>
      <c r="D14" s="18">
        <f>SUM(D5:D13)</f>
        <v>123</v>
      </c>
      <c r="E14" s="68">
        <f>SUM(E5:E13)</f>
        <v>6861</v>
      </c>
      <c r="F14" s="68">
        <f>SUM(F5:F13)</f>
        <v>0</v>
      </c>
      <c r="G14" s="68">
        <f>SUM(G5:G13)</f>
        <v>0</v>
      </c>
      <c r="H14" s="68">
        <f>SUM(H5:H13)</f>
        <v>0</v>
      </c>
      <c r="I14" s="68">
        <f t="shared" si="0"/>
        <v>6861</v>
      </c>
    </row>
    <row r="15" spans="2:9" ht="33" customHeight="1" thickBot="1" x14ac:dyDescent="0.25">
      <c r="C15" s="3"/>
      <c r="D15" s="3"/>
      <c r="E15" s="3"/>
      <c r="F15" s="3"/>
      <c r="G15" s="3"/>
      <c r="H15" s="3"/>
      <c r="I15" s="3"/>
    </row>
    <row r="16" spans="2:9" ht="16.5" customHeight="1" thickBot="1" x14ac:dyDescent="0.25">
      <c r="B16" s="92" t="s">
        <v>38</v>
      </c>
      <c r="C16" s="32" t="s">
        <v>47</v>
      </c>
      <c r="D16" s="33">
        <v>28</v>
      </c>
      <c r="E16" s="34">
        <f>D16*E48</f>
        <v>700</v>
      </c>
      <c r="F16" s="34">
        <v>250000</v>
      </c>
      <c r="G16" s="34"/>
      <c r="H16" s="34"/>
      <c r="I16" s="35">
        <f>SUM(E16:H16)</f>
        <v>250700</v>
      </c>
    </row>
    <row r="17" spans="2:9" ht="16.5" customHeight="1" thickBot="1" x14ac:dyDescent="0.25">
      <c r="B17" s="93"/>
      <c r="C17" s="36" t="s">
        <v>0</v>
      </c>
      <c r="D17" s="37">
        <v>10</v>
      </c>
      <c r="E17" s="38">
        <f>D17*E50</f>
        <v>370</v>
      </c>
      <c r="F17" s="38">
        <f>16.4*500</f>
        <v>8200</v>
      </c>
      <c r="G17" s="38"/>
      <c r="H17" s="38"/>
      <c r="I17" s="35">
        <f>SUM(E17:H17)</f>
        <v>8570</v>
      </c>
    </row>
    <row r="18" spans="2:9" ht="16.5" customHeight="1" thickBot="1" x14ac:dyDescent="0.25">
      <c r="B18" s="93"/>
      <c r="C18" s="36" t="s">
        <v>1</v>
      </c>
      <c r="D18" s="37">
        <v>10</v>
      </c>
      <c r="E18" s="38">
        <f>D18*E49</f>
        <v>360</v>
      </c>
      <c r="F18" s="38"/>
      <c r="G18" s="38"/>
      <c r="H18" s="38"/>
      <c r="I18" s="35">
        <f t="shared" ref="I18:I27" si="1">SUM(E18:H18)</f>
        <v>360</v>
      </c>
    </row>
    <row r="19" spans="2:9" ht="16.5" customHeight="1" thickBot="1" x14ac:dyDescent="0.25">
      <c r="B19" s="93"/>
      <c r="C19" s="36" t="s">
        <v>48</v>
      </c>
      <c r="D19" s="37">
        <v>20</v>
      </c>
      <c r="E19" s="38">
        <f>D19*E50</f>
        <v>740</v>
      </c>
      <c r="F19" s="38">
        <v>5000</v>
      </c>
      <c r="G19" s="38"/>
      <c r="H19" s="38"/>
      <c r="I19" s="35">
        <f t="shared" si="1"/>
        <v>5740</v>
      </c>
    </row>
    <row r="20" spans="2:9" ht="16.5" customHeight="1" thickBot="1" x14ac:dyDescent="0.25">
      <c r="B20" s="93"/>
      <c r="C20" s="36" t="s">
        <v>102</v>
      </c>
      <c r="D20" s="37">
        <v>80</v>
      </c>
      <c r="E20" s="38">
        <f>D20*E49</f>
        <v>2880</v>
      </c>
      <c r="F20" s="38">
        <f>10400 + 125</f>
        <v>10525</v>
      </c>
      <c r="G20" s="38"/>
      <c r="H20" s="38"/>
      <c r="I20" s="35">
        <f t="shared" si="1"/>
        <v>13405</v>
      </c>
    </row>
    <row r="21" spans="2:9" ht="16.5" customHeight="1" thickBot="1" x14ac:dyDescent="0.25">
      <c r="B21" s="93"/>
      <c r="C21" s="36" t="s">
        <v>49</v>
      </c>
      <c r="D21" s="37">
        <v>20</v>
      </c>
      <c r="E21" s="38">
        <f>D21*E50+D21*E49+D21*E48</f>
        <v>1960</v>
      </c>
      <c r="F21" s="38">
        <v>8200</v>
      </c>
      <c r="G21" s="38"/>
      <c r="H21" s="38"/>
      <c r="I21" s="35">
        <f t="shared" si="1"/>
        <v>10160</v>
      </c>
    </row>
    <row r="22" spans="2:9" ht="16.5" customHeight="1" thickBot="1" x14ac:dyDescent="0.25">
      <c r="B22" s="93"/>
      <c r="C22" s="36" t="s">
        <v>77</v>
      </c>
      <c r="D22" s="37">
        <v>12</v>
      </c>
      <c r="E22" s="38">
        <f>D22*E49</f>
        <v>432</v>
      </c>
      <c r="F22" s="38">
        <v>3426</v>
      </c>
      <c r="G22" s="38"/>
      <c r="H22" s="38"/>
      <c r="I22" s="35">
        <f t="shared" si="1"/>
        <v>3858</v>
      </c>
    </row>
    <row r="23" spans="2:9" ht="16.5" customHeight="1" thickBot="1" x14ac:dyDescent="0.25">
      <c r="B23" s="93"/>
      <c r="C23" s="36" t="s">
        <v>50</v>
      </c>
      <c r="D23" s="37">
        <v>4</v>
      </c>
      <c r="E23" s="38">
        <f>D23*E49</f>
        <v>144</v>
      </c>
      <c r="F23" s="38">
        <v>1800</v>
      </c>
      <c r="G23" s="38"/>
      <c r="H23" s="38"/>
      <c r="I23" s="35">
        <f t="shared" si="1"/>
        <v>1944</v>
      </c>
    </row>
    <row r="24" spans="2:9" ht="16.5" customHeight="1" thickBot="1" x14ac:dyDescent="0.25">
      <c r="B24" s="93"/>
      <c r="C24" s="36" t="s">
        <v>101</v>
      </c>
      <c r="D24" s="37">
        <v>4</v>
      </c>
      <c r="E24" s="38">
        <f>D24*E49</f>
        <v>144</v>
      </c>
      <c r="F24" s="38">
        <f>51047 + 350</f>
        <v>51397</v>
      </c>
      <c r="G24" s="38"/>
      <c r="H24" s="38"/>
      <c r="I24" s="35">
        <f t="shared" si="1"/>
        <v>51541</v>
      </c>
    </row>
    <row r="25" spans="2:9" ht="16.5" customHeight="1" thickBot="1" x14ac:dyDescent="0.25">
      <c r="B25" s="93"/>
      <c r="C25" s="36" t="s">
        <v>52</v>
      </c>
      <c r="D25" s="37">
        <v>12</v>
      </c>
      <c r="E25" s="38">
        <f>D25*E51</f>
        <v>348</v>
      </c>
      <c r="F25" s="38"/>
      <c r="G25" s="38"/>
      <c r="H25" s="38"/>
      <c r="I25" s="35">
        <f t="shared" si="1"/>
        <v>348</v>
      </c>
    </row>
    <row r="26" spans="2:9" ht="16.5" customHeight="1" thickBot="1" x14ac:dyDescent="0.25">
      <c r="B26" s="93"/>
      <c r="C26" s="36" t="s">
        <v>53</v>
      </c>
      <c r="D26" s="37">
        <v>80</v>
      </c>
      <c r="E26" s="38">
        <f>D26*E51</f>
        <v>2320</v>
      </c>
      <c r="F26" s="38"/>
      <c r="G26" s="38"/>
      <c r="H26" s="38"/>
      <c r="I26" s="35">
        <f t="shared" si="1"/>
        <v>2320</v>
      </c>
    </row>
    <row r="27" spans="2:9" ht="16.5" customHeight="1" thickBot="1" x14ac:dyDescent="0.25">
      <c r="B27" s="94"/>
      <c r="C27" s="40" t="s">
        <v>8</v>
      </c>
      <c r="D27" s="18">
        <f>SUM(D16:D26)</f>
        <v>280</v>
      </c>
      <c r="E27" s="68">
        <f>SUM(E16:E26)</f>
        <v>10398</v>
      </c>
      <c r="F27" s="68">
        <f>SUM(F16:F26)</f>
        <v>338548</v>
      </c>
      <c r="G27" s="68">
        <f>SUM(G16:G25)</f>
        <v>0</v>
      </c>
      <c r="H27" s="68">
        <f>SUM(H16:H25)</f>
        <v>0</v>
      </c>
      <c r="I27" s="35">
        <f t="shared" si="1"/>
        <v>348946</v>
      </c>
    </row>
    <row r="28" spans="2:9" ht="33" customHeight="1" thickBot="1" x14ac:dyDescent="0.25">
      <c r="C28" s="3"/>
      <c r="D28" s="3"/>
      <c r="E28" s="3"/>
      <c r="F28" s="3"/>
      <c r="G28" s="3"/>
      <c r="H28" s="3"/>
      <c r="I28" s="3"/>
    </row>
    <row r="29" spans="2:9" ht="16.5" customHeight="1" x14ac:dyDescent="0.2">
      <c r="B29" s="83" t="s">
        <v>37</v>
      </c>
      <c r="C29" s="32" t="s">
        <v>66</v>
      </c>
      <c r="D29" s="33">
        <v>8</v>
      </c>
      <c r="E29" s="34">
        <f>D29*E49</f>
        <v>288</v>
      </c>
      <c r="F29" s="34"/>
      <c r="G29" s="34"/>
      <c r="H29" s="34"/>
      <c r="I29" s="35">
        <f t="shared" ref="I29:I35" si="2">SUM(D29:H29)</f>
        <v>296</v>
      </c>
    </row>
    <row r="30" spans="2:9" ht="16.5" customHeight="1" x14ac:dyDescent="0.2">
      <c r="B30" s="84"/>
      <c r="C30" s="36" t="s">
        <v>51</v>
      </c>
      <c r="D30" s="37">
        <v>20</v>
      </c>
      <c r="E30" s="38">
        <f>D30*E49</f>
        <v>720</v>
      </c>
      <c r="F30" s="38"/>
      <c r="G30" s="38"/>
      <c r="H30" s="38"/>
      <c r="I30" s="39">
        <f t="shared" si="2"/>
        <v>740</v>
      </c>
    </row>
    <row r="31" spans="2:9" ht="16.5" customHeight="1" x14ac:dyDescent="0.2">
      <c r="B31" s="84"/>
      <c r="C31" s="36" t="s">
        <v>67</v>
      </c>
      <c r="D31" s="37">
        <v>40</v>
      </c>
      <c r="E31" s="38">
        <f>D31*E51+D31*E49</f>
        <v>2600</v>
      </c>
      <c r="F31" s="38"/>
      <c r="G31" s="38"/>
      <c r="H31" s="38"/>
      <c r="I31" s="39">
        <f t="shared" si="2"/>
        <v>2640</v>
      </c>
    </row>
    <row r="32" spans="2:9" ht="16.5" customHeight="1" x14ac:dyDescent="0.2">
      <c r="B32" s="84"/>
      <c r="C32" s="36" t="s">
        <v>68</v>
      </c>
      <c r="D32" s="37">
        <v>20</v>
      </c>
      <c r="E32" s="38">
        <f>D32+E51+D32*E49</f>
        <v>769</v>
      </c>
      <c r="F32" s="38"/>
      <c r="G32" s="38"/>
      <c r="H32" s="38"/>
      <c r="I32" s="39">
        <f t="shared" si="2"/>
        <v>789</v>
      </c>
    </row>
    <row r="33" spans="2:9" ht="16.5" customHeight="1" x14ac:dyDescent="0.2">
      <c r="B33" s="84"/>
      <c r="C33" s="36" t="s">
        <v>69</v>
      </c>
      <c r="D33" s="37">
        <v>20</v>
      </c>
      <c r="E33" s="38">
        <f>D33*E51+D33*E49</f>
        <v>1300</v>
      </c>
      <c r="F33" s="38"/>
      <c r="G33" s="38"/>
      <c r="H33" s="38"/>
      <c r="I33" s="39">
        <f t="shared" si="2"/>
        <v>1320</v>
      </c>
    </row>
    <row r="34" spans="2:9" ht="16.5" customHeight="1" x14ac:dyDescent="0.2">
      <c r="B34" s="84"/>
      <c r="C34" s="36" t="s">
        <v>70</v>
      </c>
      <c r="D34" s="37">
        <v>24</v>
      </c>
      <c r="E34" s="38">
        <f>D34*E51</f>
        <v>696</v>
      </c>
      <c r="F34" s="38"/>
      <c r="G34" s="38"/>
      <c r="H34" s="38"/>
      <c r="I34" s="39">
        <f t="shared" si="2"/>
        <v>720</v>
      </c>
    </row>
    <row r="35" spans="2:9" ht="16.5" customHeight="1" thickBot="1" x14ac:dyDescent="0.25">
      <c r="B35" s="85"/>
      <c r="C35" s="40" t="s">
        <v>8</v>
      </c>
      <c r="D35" s="18">
        <f>SUM(D29:D34)</f>
        <v>132</v>
      </c>
      <c r="E35" s="68">
        <f>SUM(E29:E34)</f>
        <v>6373</v>
      </c>
      <c r="F35" s="68">
        <f>SUM(F29:F34)</f>
        <v>0</v>
      </c>
      <c r="G35" s="68">
        <f>SUM(G29:G34)</f>
        <v>0</v>
      </c>
      <c r="H35" s="68">
        <f>SUM(H29:H34)</f>
        <v>0</v>
      </c>
      <c r="I35" s="68">
        <f t="shared" si="2"/>
        <v>6505</v>
      </c>
    </row>
    <row r="36" spans="2:9" ht="33" customHeight="1" thickBot="1" x14ac:dyDescent="0.25"/>
    <row r="37" spans="2:9" ht="16.5" customHeight="1" x14ac:dyDescent="0.2">
      <c r="B37" s="86" t="s">
        <v>36</v>
      </c>
      <c r="C37" s="32" t="s">
        <v>71</v>
      </c>
      <c r="D37" s="33">
        <v>16</v>
      </c>
      <c r="E37" s="34">
        <f>D37*E47+D37+E46</f>
        <v>536</v>
      </c>
      <c r="F37" s="34"/>
      <c r="G37" s="34"/>
      <c r="H37" s="34"/>
      <c r="I37" s="35">
        <f t="shared" ref="I37:I44" si="3">SUM(D37:H37)</f>
        <v>552</v>
      </c>
    </row>
    <row r="38" spans="2:9" ht="16.5" customHeight="1" x14ac:dyDescent="0.2">
      <c r="B38" s="87"/>
      <c r="C38" s="36" t="s">
        <v>72</v>
      </c>
      <c r="D38" s="37">
        <v>32</v>
      </c>
      <c r="E38" s="38">
        <f>D38*E46+D38*E47</f>
        <v>2240</v>
      </c>
      <c r="F38" s="38"/>
      <c r="G38" s="38"/>
      <c r="H38" s="38"/>
      <c r="I38" s="39">
        <f t="shared" si="3"/>
        <v>2272</v>
      </c>
    </row>
    <row r="39" spans="2:9" ht="16.5" customHeight="1" x14ac:dyDescent="0.2">
      <c r="B39" s="87"/>
      <c r="C39" s="36" t="s">
        <v>5</v>
      </c>
      <c r="D39" s="37">
        <v>12</v>
      </c>
      <c r="E39" s="38">
        <f>D39*E46</f>
        <v>480</v>
      </c>
      <c r="F39" s="38"/>
      <c r="G39" s="38"/>
      <c r="H39" s="38"/>
      <c r="I39" s="39">
        <f t="shared" si="3"/>
        <v>492</v>
      </c>
    </row>
    <row r="40" spans="2:9" ht="16.5" customHeight="1" x14ac:dyDescent="0.2">
      <c r="B40" s="87"/>
      <c r="C40" s="36" t="s">
        <v>74</v>
      </c>
      <c r="D40" s="37">
        <v>24</v>
      </c>
      <c r="E40" s="38">
        <f>D40*E47</f>
        <v>720</v>
      </c>
      <c r="F40" s="38"/>
      <c r="G40" s="38"/>
      <c r="H40" s="38"/>
      <c r="I40" s="39">
        <f t="shared" si="3"/>
        <v>744</v>
      </c>
    </row>
    <row r="41" spans="2:9" ht="16.5" customHeight="1" x14ac:dyDescent="0.2">
      <c r="B41" s="87"/>
      <c r="C41" s="36" t="s">
        <v>73</v>
      </c>
      <c r="D41" s="37">
        <v>12</v>
      </c>
      <c r="E41" s="38">
        <f>D41*E46+D41*E47</f>
        <v>840</v>
      </c>
      <c r="F41" s="38"/>
      <c r="G41" s="38"/>
      <c r="H41" s="38"/>
      <c r="I41" s="39">
        <f t="shared" si="3"/>
        <v>852</v>
      </c>
    </row>
    <row r="42" spans="2:9" ht="16.5" customHeight="1" x14ac:dyDescent="0.2">
      <c r="B42" s="87"/>
      <c r="C42" s="36" t="s">
        <v>6</v>
      </c>
      <c r="D42" s="37">
        <v>80</v>
      </c>
      <c r="E42" s="38">
        <f>D42*E46</f>
        <v>3200</v>
      </c>
      <c r="F42" s="38"/>
      <c r="G42" s="38"/>
      <c r="H42" s="38"/>
      <c r="I42" s="39">
        <f t="shared" si="3"/>
        <v>3280</v>
      </c>
    </row>
    <row r="43" spans="2:9" ht="16.5" customHeight="1" x14ac:dyDescent="0.2">
      <c r="B43" s="87"/>
      <c r="C43" s="36" t="s">
        <v>7</v>
      </c>
      <c r="D43" s="37">
        <v>200</v>
      </c>
      <c r="E43" s="38">
        <f>D43*E46</f>
        <v>8000</v>
      </c>
      <c r="F43" s="38"/>
      <c r="G43" s="38"/>
      <c r="H43" s="38"/>
      <c r="I43" s="39">
        <f t="shared" si="3"/>
        <v>8200</v>
      </c>
    </row>
    <row r="44" spans="2:9" ht="16.5" customHeight="1" thickBot="1" x14ac:dyDescent="0.25">
      <c r="B44" s="88"/>
      <c r="C44" s="40" t="s">
        <v>8</v>
      </c>
      <c r="D44" s="18">
        <f>SUM(D37:D43)</f>
        <v>376</v>
      </c>
      <c r="E44" s="68">
        <f>SUM(E37:E43)</f>
        <v>16016</v>
      </c>
      <c r="F44" s="68">
        <f>SUM(F37:F43)</f>
        <v>0</v>
      </c>
      <c r="G44" s="68">
        <f>SUM(G37:G43)</f>
        <v>0</v>
      </c>
      <c r="H44" s="68">
        <f>SUM(H37:H43)</f>
        <v>0</v>
      </c>
      <c r="I44" s="68">
        <f t="shared" si="3"/>
        <v>16392</v>
      </c>
    </row>
    <row r="45" spans="2:9" s="70" customFormat="1" ht="33" customHeight="1" thickBot="1" x14ac:dyDescent="0.25">
      <c r="C45" s="71"/>
      <c r="D45" s="71" t="s">
        <v>14</v>
      </c>
      <c r="E45" s="71" t="s">
        <v>57</v>
      </c>
      <c r="F45" s="71"/>
      <c r="G45" s="71"/>
      <c r="H45" s="71"/>
      <c r="I45" s="71" t="s">
        <v>58</v>
      </c>
    </row>
    <row r="46" spans="2:9" ht="16.5" customHeight="1" x14ac:dyDescent="0.2">
      <c r="B46" s="80" t="s">
        <v>62</v>
      </c>
      <c r="C46" s="41" t="s">
        <v>54</v>
      </c>
      <c r="D46" s="33">
        <f>D44</f>
        <v>376</v>
      </c>
      <c r="E46" s="34">
        <v>40</v>
      </c>
      <c r="F46" s="34"/>
      <c r="G46" s="34"/>
      <c r="H46" s="34"/>
      <c r="I46" s="35">
        <f t="shared" ref="I46:I51" si="4">D46*E46</f>
        <v>15040</v>
      </c>
    </row>
    <row r="47" spans="2:9" ht="16.5" customHeight="1" x14ac:dyDescent="0.2">
      <c r="B47" s="81"/>
      <c r="C47" s="42" t="s">
        <v>55</v>
      </c>
      <c r="D47" s="37">
        <f>D5 + D6 + D10 + D11 + D12 + D13 + D37 + D38 + D40 + D41</f>
        <v>171</v>
      </c>
      <c r="E47" s="38">
        <v>30</v>
      </c>
      <c r="F47" s="38"/>
      <c r="G47" s="38"/>
      <c r="H47" s="38"/>
      <c r="I47" s="39">
        <f t="shared" si="4"/>
        <v>5130</v>
      </c>
    </row>
    <row r="48" spans="2:9" ht="16.5" customHeight="1" x14ac:dyDescent="0.2">
      <c r="B48" s="81"/>
      <c r="C48" s="42" t="s">
        <v>56</v>
      </c>
      <c r="D48" s="37">
        <f>D7+D16+D21</f>
        <v>58</v>
      </c>
      <c r="E48" s="38">
        <v>25</v>
      </c>
      <c r="F48" s="38"/>
      <c r="G48" s="38"/>
      <c r="H48" s="38"/>
      <c r="I48" s="39">
        <f t="shared" si="4"/>
        <v>1450</v>
      </c>
    </row>
    <row r="49" spans="2:9" ht="16.5" customHeight="1" x14ac:dyDescent="0.2">
      <c r="B49" s="81"/>
      <c r="C49" s="42" t="s">
        <v>59</v>
      </c>
      <c r="D49" s="76">
        <f>D8+D18+D20+D21+D22+D23+D24+D29+D30+D31+D32+D33+12</f>
        <v>260</v>
      </c>
      <c r="E49" s="38">
        <v>36</v>
      </c>
      <c r="F49" s="38"/>
      <c r="G49" s="38"/>
      <c r="H49" s="38"/>
      <c r="I49" s="39">
        <f t="shared" si="4"/>
        <v>9360</v>
      </c>
    </row>
    <row r="50" spans="2:9" ht="16.5" customHeight="1" x14ac:dyDescent="0.2">
      <c r="B50" s="81"/>
      <c r="C50" s="42" t="s">
        <v>60</v>
      </c>
      <c r="D50" s="37">
        <f>D7+D10+D17+D19+D21+D12</f>
        <v>73</v>
      </c>
      <c r="E50" s="38">
        <v>37</v>
      </c>
      <c r="F50" s="38"/>
      <c r="G50" s="38"/>
      <c r="H50" s="38"/>
      <c r="I50" s="39">
        <f t="shared" si="4"/>
        <v>2701</v>
      </c>
    </row>
    <row r="51" spans="2:9" ht="16.5" customHeight="1" x14ac:dyDescent="0.2">
      <c r="B51" s="81"/>
      <c r="C51" s="42" t="s">
        <v>61</v>
      </c>
      <c r="D51" s="37">
        <f>D12+D13+D25+D26+D31+D32+D33+D34</f>
        <v>228</v>
      </c>
      <c r="E51" s="38">
        <v>29</v>
      </c>
      <c r="F51" s="38"/>
      <c r="G51" s="38"/>
      <c r="H51" s="38"/>
      <c r="I51" s="39">
        <f t="shared" si="4"/>
        <v>6612</v>
      </c>
    </row>
    <row r="52" spans="2:9" ht="16.5" customHeight="1" thickBot="1" x14ac:dyDescent="0.25">
      <c r="B52" s="82"/>
      <c r="C52" s="40" t="s">
        <v>8</v>
      </c>
      <c r="D52" s="18">
        <f>SUM(D46:D51)</f>
        <v>1166</v>
      </c>
      <c r="E52" s="68">
        <f>SUM(E46:E51)</f>
        <v>197</v>
      </c>
      <c r="F52" s="68"/>
      <c r="G52" s="68"/>
      <c r="H52" s="68"/>
      <c r="I52" s="68">
        <f>SUM(D52:H52)</f>
        <v>1363</v>
      </c>
    </row>
    <row r="53" spans="2:9" ht="33" customHeight="1" thickBot="1" x14ac:dyDescent="0.25">
      <c r="C53" s="3"/>
      <c r="D53" s="3"/>
      <c r="E53" s="3"/>
      <c r="F53" s="3"/>
      <c r="G53" s="3"/>
      <c r="H53" s="3"/>
      <c r="I53" s="3"/>
    </row>
    <row r="54" spans="2:9" ht="20.25" customHeight="1" x14ac:dyDescent="0.2">
      <c r="B54" s="43" t="s">
        <v>20</v>
      </c>
      <c r="C54" s="44"/>
      <c r="D54" s="19">
        <f>SUM(D44,D35,D27,D14)</f>
        <v>911</v>
      </c>
      <c r="E54" s="69">
        <f>SUM(E52 + E44 + E35 + E27 + E14)</f>
        <v>39845</v>
      </c>
      <c r="F54" s="69">
        <f>SUM(F44,F35,F27,F14)</f>
        <v>338548</v>
      </c>
      <c r="G54" s="69">
        <f>SUM(G44,G35,G27,G14)</f>
        <v>0</v>
      </c>
      <c r="H54" s="69">
        <f>SUM(H44,H35,H27,H14)</f>
        <v>0</v>
      </c>
      <c r="I54" s="69">
        <f>SUM(I46, I44,I35,I27,I14)</f>
        <v>393744</v>
      </c>
    </row>
    <row r="55" spans="2:9" ht="20.25" customHeight="1" x14ac:dyDescent="0.2">
      <c r="B55" s="45" t="s">
        <v>21</v>
      </c>
      <c r="C55" s="46"/>
      <c r="D55" s="49">
        <v>40</v>
      </c>
      <c r="E55" s="50">
        <f>D55*E46+D55*E49</f>
        <v>3040</v>
      </c>
      <c r="F55" s="50">
        <v>5000</v>
      </c>
      <c r="G55" s="50">
        <v>0</v>
      </c>
      <c r="H55" s="50">
        <v>500</v>
      </c>
      <c r="I55" s="51">
        <f>SUM(E55:H55)</f>
        <v>8540</v>
      </c>
    </row>
    <row r="56" spans="2:9" ht="20.25" customHeight="1" thickBot="1" x14ac:dyDescent="0.25">
      <c r="B56" s="47" t="s">
        <v>22</v>
      </c>
      <c r="C56" s="48"/>
      <c r="D56" s="20">
        <f t="shared" ref="D56:I56" si="5">SUM(D54:D55)</f>
        <v>951</v>
      </c>
      <c r="E56" s="21">
        <f t="shared" si="5"/>
        <v>42885</v>
      </c>
      <c r="F56" s="21">
        <f t="shared" si="5"/>
        <v>343548</v>
      </c>
      <c r="G56" s="21">
        <f t="shared" si="5"/>
        <v>0</v>
      </c>
      <c r="H56" s="21">
        <f t="shared" si="5"/>
        <v>500</v>
      </c>
      <c r="I56" s="21">
        <f t="shared" si="5"/>
        <v>402284</v>
      </c>
    </row>
  </sheetData>
  <mergeCells count="5">
    <mergeCell ref="B46:B52"/>
    <mergeCell ref="B29:B35"/>
    <mergeCell ref="B37:B44"/>
    <mergeCell ref="B5:B14"/>
    <mergeCell ref="B16:B27"/>
  </mergeCells>
  <pageMargins left="0.7" right="0.7" top="0.75" bottom="0.75" header="0.3" footer="0.3"/>
  <pageSetup scale="68" fitToHeight="0" orientation="portrait" r:id="rId1"/>
  <ignoredErrors>
    <ignoredError sqref="I55 I12:I13 I16:I24 I5:I7 I9:I10 I25:I26" formulaRange="1"/>
    <ignoredError sqref="E7 E54 E12 E24:E25" formula="1"/>
    <ignoredError sqref="E55" unlockedFormula="1"/>
  </ignoredError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F35"/>
  <sheetViews>
    <sheetView showGridLines="0" workbookViewId="0">
      <pane ySplit="3" topLeftCell="A12" activePane="bottomLeft" state="frozen"/>
      <selection pane="bottomLeft" activeCell="D5" sqref="D5"/>
    </sheetView>
  </sheetViews>
  <sheetFormatPr defaultRowHeight="16.5" customHeight="1" x14ac:dyDescent="0.2"/>
  <cols>
    <col min="1" max="1" width="2.7109375" customWidth="1"/>
    <col min="2" max="2" width="3.28515625" customWidth="1"/>
    <col min="3" max="3" width="38.42578125" customWidth="1"/>
    <col min="4" max="4" width="14.85546875" bestFit="1" customWidth="1"/>
    <col min="5" max="5" width="16.28515625" customWidth="1"/>
    <col min="6" max="6" width="67.7109375" bestFit="1" customWidth="1"/>
    <col min="7" max="7" width="2.7109375" customWidth="1"/>
  </cols>
  <sheetData>
    <row r="1" spans="1:6" ht="42" customHeight="1" x14ac:dyDescent="0.2">
      <c r="A1" s="15" t="s">
        <v>10</v>
      </c>
      <c r="D1" s="2"/>
      <c r="E1" s="2"/>
      <c r="F1" s="10"/>
    </row>
    <row r="2" spans="1:6" ht="16.5" customHeight="1" x14ac:dyDescent="0.2">
      <c r="F2" s="4"/>
    </row>
    <row r="3" spans="1:6" ht="16.5" customHeight="1" thickBot="1" x14ac:dyDescent="0.25">
      <c r="C3" s="23" t="s">
        <v>23</v>
      </c>
      <c r="D3" s="5" t="s">
        <v>24</v>
      </c>
      <c r="E3" s="6" t="s">
        <v>25</v>
      </c>
      <c r="F3" s="11" t="s">
        <v>26</v>
      </c>
    </row>
    <row r="4" spans="1:6" ht="36" x14ac:dyDescent="0.2">
      <c r="B4" s="95" t="s">
        <v>28</v>
      </c>
      <c r="C4" s="72" t="s">
        <v>85</v>
      </c>
      <c r="D4" s="77">
        <f>2386+1800+700+51047+340+(36*(80+2))</f>
        <v>59225</v>
      </c>
      <c r="E4" s="53">
        <v>43411</v>
      </c>
      <c r="F4" s="54" t="s">
        <v>86</v>
      </c>
    </row>
    <row r="5" spans="1:6" ht="16.5" customHeight="1" x14ac:dyDescent="0.2">
      <c r="B5" s="96"/>
      <c r="C5" s="73" t="s">
        <v>87</v>
      </c>
      <c r="D5" s="56">
        <f>(16.4*500)</f>
        <v>8200</v>
      </c>
      <c r="E5" s="74">
        <v>43413</v>
      </c>
      <c r="F5" s="58" t="s">
        <v>84</v>
      </c>
    </row>
    <row r="6" spans="1:6" ht="16.5" customHeight="1" x14ac:dyDescent="0.2">
      <c r="B6" s="96"/>
      <c r="C6" s="73" t="s">
        <v>51</v>
      </c>
      <c r="D6" s="78">
        <f>(10+20)*36</f>
        <v>1080</v>
      </c>
      <c r="E6" s="57">
        <v>43444</v>
      </c>
      <c r="F6" s="58" t="s">
        <v>113</v>
      </c>
    </row>
    <row r="7" spans="1:6" ht="16.5" customHeight="1" x14ac:dyDescent="0.2">
      <c r="B7" s="96"/>
      <c r="C7" s="73" t="s">
        <v>2</v>
      </c>
      <c r="D7" s="56">
        <f>20*29</f>
        <v>580</v>
      </c>
      <c r="E7" s="57">
        <v>43101</v>
      </c>
      <c r="F7" s="58" t="s">
        <v>75</v>
      </c>
    </row>
    <row r="8" spans="1:6" ht="16.5" customHeight="1" x14ac:dyDescent="0.2">
      <c r="B8" s="96"/>
      <c r="C8" s="55" t="s">
        <v>3</v>
      </c>
      <c r="D8" s="56">
        <f>12*40</f>
        <v>480</v>
      </c>
      <c r="E8" s="74">
        <v>43101</v>
      </c>
      <c r="F8" s="58" t="s">
        <v>76</v>
      </c>
    </row>
    <row r="9" spans="1:6" ht="16.5" customHeight="1" x14ac:dyDescent="0.2">
      <c r="B9" s="96"/>
      <c r="C9" s="55" t="s">
        <v>4</v>
      </c>
      <c r="D9" s="56">
        <f>1800*15%</f>
        <v>270</v>
      </c>
      <c r="E9" s="57">
        <v>43411</v>
      </c>
      <c r="F9" s="58" t="s">
        <v>78</v>
      </c>
    </row>
    <row r="10" spans="1:6" ht="16.5" customHeight="1" x14ac:dyDescent="0.2">
      <c r="B10" s="96"/>
      <c r="C10" s="55" t="s">
        <v>27</v>
      </c>
      <c r="D10" s="56">
        <f>(500+8200+1800+7000+3500+2800+67000+510)*10%</f>
        <v>9131</v>
      </c>
      <c r="E10" s="57">
        <v>43413</v>
      </c>
      <c r="F10" s="58" t="s">
        <v>79</v>
      </c>
    </row>
    <row r="11" spans="1:6" ht="16.5" customHeight="1" thickBot="1" x14ac:dyDescent="0.25">
      <c r="B11" s="97"/>
      <c r="C11" s="59" t="s">
        <v>8</v>
      </c>
      <c r="D11" s="65">
        <f>SUM(D4:D10)</f>
        <v>78966</v>
      </c>
      <c r="E11" s="60"/>
      <c r="F11" s="61"/>
    </row>
    <row r="12" spans="1:6" ht="33" customHeight="1" thickBot="1" x14ac:dyDescent="0.25">
      <c r="C12" s="8"/>
      <c r="D12" s="8"/>
      <c r="E12" s="9"/>
      <c r="F12" s="7"/>
    </row>
    <row r="13" spans="1:6" ht="16.5" customHeight="1" x14ac:dyDescent="0.2">
      <c r="B13" s="98" t="s">
        <v>29</v>
      </c>
      <c r="C13" s="72" t="s">
        <v>88</v>
      </c>
      <c r="D13" s="52">
        <f>5*36+5*37</f>
        <v>365</v>
      </c>
      <c r="E13" s="53">
        <v>20</v>
      </c>
      <c r="F13" s="54" t="s">
        <v>90</v>
      </c>
    </row>
    <row r="14" spans="1:6" ht="16.5" customHeight="1" x14ac:dyDescent="0.2">
      <c r="B14" s="99"/>
      <c r="C14" s="73" t="s">
        <v>89</v>
      </c>
      <c r="D14" s="56">
        <f>40*25</f>
        <v>1000</v>
      </c>
      <c r="E14" s="74">
        <v>43410</v>
      </c>
      <c r="F14" s="58" t="s">
        <v>91</v>
      </c>
    </row>
    <row r="15" spans="1:6" ht="24" x14ac:dyDescent="0.2">
      <c r="B15" s="99"/>
      <c r="C15" s="73" t="s">
        <v>92</v>
      </c>
      <c r="D15" s="56">
        <f>40*40+40*30</f>
        <v>2800</v>
      </c>
      <c r="E15" s="57">
        <v>43409</v>
      </c>
      <c r="F15" s="58" t="s">
        <v>93</v>
      </c>
    </row>
    <row r="16" spans="1:6" ht="36" x14ac:dyDescent="0.2">
      <c r="B16" s="99"/>
      <c r="C16" s="73" t="s">
        <v>94</v>
      </c>
      <c r="D16" s="56">
        <f>8*30+8*37+8*25+8*29</f>
        <v>968</v>
      </c>
      <c r="E16" s="57">
        <v>43424</v>
      </c>
      <c r="F16" s="58" t="s">
        <v>96</v>
      </c>
    </row>
    <row r="17" spans="2:6" ht="36" x14ac:dyDescent="0.2">
      <c r="B17" s="99"/>
      <c r="C17" s="73" t="s">
        <v>95</v>
      </c>
      <c r="D17" s="56">
        <f>8*30+8*25+8*37</f>
        <v>736</v>
      </c>
      <c r="E17" s="57">
        <v>43439</v>
      </c>
      <c r="F17" s="58" t="s">
        <v>96</v>
      </c>
    </row>
    <row r="18" spans="2:6" ht="16.5" customHeight="1" x14ac:dyDescent="0.2">
      <c r="B18" s="99"/>
      <c r="C18" s="73" t="s">
        <v>97</v>
      </c>
      <c r="D18" s="56">
        <f>16*36</f>
        <v>576</v>
      </c>
      <c r="E18" s="74">
        <v>43441</v>
      </c>
      <c r="F18" s="58" t="s">
        <v>98</v>
      </c>
    </row>
    <row r="19" spans="2:6" ht="16.5" customHeight="1" thickBot="1" x14ac:dyDescent="0.25">
      <c r="B19" s="100"/>
      <c r="C19" s="59" t="s">
        <v>8</v>
      </c>
      <c r="D19" s="65">
        <f>SUM(D13:D18)</f>
        <v>6445</v>
      </c>
      <c r="E19" s="60"/>
      <c r="F19" s="61"/>
    </row>
    <row r="20" spans="2:6" ht="33" customHeight="1" thickBot="1" x14ac:dyDescent="0.25">
      <c r="C20" s="8"/>
      <c r="D20" s="8"/>
      <c r="E20" s="9"/>
      <c r="F20" s="7"/>
    </row>
    <row r="21" spans="2:6" ht="16.5" customHeight="1" x14ac:dyDescent="0.2">
      <c r="B21" s="101" t="s">
        <v>30</v>
      </c>
      <c r="C21" s="72" t="s">
        <v>103</v>
      </c>
      <c r="D21" s="75">
        <f>0.65*16000</f>
        <v>10400</v>
      </c>
      <c r="E21" s="53">
        <v>43416</v>
      </c>
      <c r="F21" s="54" t="s">
        <v>104</v>
      </c>
    </row>
    <row r="22" spans="2:6" ht="16.5" customHeight="1" x14ac:dyDescent="0.2">
      <c r="B22" s="102"/>
      <c r="C22" s="73" t="s">
        <v>99</v>
      </c>
      <c r="D22" s="56">
        <f>5*25</f>
        <v>125</v>
      </c>
      <c r="E22" s="57">
        <v>43411</v>
      </c>
      <c r="F22" s="58" t="s">
        <v>105</v>
      </c>
    </row>
    <row r="23" spans="2:6" ht="16.5" customHeight="1" x14ac:dyDescent="0.2">
      <c r="B23" s="102"/>
      <c r="C23" s="73" t="s">
        <v>100</v>
      </c>
      <c r="D23" s="56">
        <f>14*25</f>
        <v>350</v>
      </c>
      <c r="E23" s="57">
        <v>43411</v>
      </c>
      <c r="F23" s="58" t="s">
        <v>106</v>
      </c>
    </row>
    <row r="24" spans="2:6" ht="16.5" customHeight="1" x14ac:dyDescent="0.2">
      <c r="B24" s="102"/>
      <c r="C24" s="55" t="s">
        <v>2</v>
      </c>
      <c r="D24" s="56">
        <f>20*36+20*29</f>
        <v>1300</v>
      </c>
      <c r="E24" s="57">
        <v>43423</v>
      </c>
      <c r="F24" s="58" t="s">
        <v>107</v>
      </c>
    </row>
    <row r="25" spans="2:6" ht="24" x14ac:dyDescent="0.2">
      <c r="B25" s="102"/>
      <c r="C25" s="55" t="s">
        <v>3</v>
      </c>
      <c r="D25" s="56">
        <f>10*29</f>
        <v>290</v>
      </c>
      <c r="E25" s="74">
        <v>43460</v>
      </c>
      <c r="F25" s="58" t="s">
        <v>108</v>
      </c>
    </row>
    <row r="26" spans="2:6" ht="16.5" customHeight="1" thickBot="1" x14ac:dyDescent="0.25">
      <c r="B26" s="103"/>
      <c r="C26" s="59" t="s">
        <v>8</v>
      </c>
      <c r="D26" s="65">
        <f>SUM(D21:D25)</f>
        <v>12465</v>
      </c>
      <c r="E26" s="60"/>
      <c r="F26" s="61"/>
    </row>
    <row r="27" spans="2:6" ht="33" customHeight="1" thickBot="1" x14ac:dyDescent="0.25">
      <c r="C27" s="8"/>
      <c r="D27" s="8"/>
      <c r="E27" s="9"/>
      <c r="F27" s="7"/>
    </row>
    <row r="28" spans="2:6" ht="16.5" customHeight="1" x14ac:dyDescent="0.2">
      <c r="B28" s="104" t="s">
        <v>31</v>
      </c>
      <c r="C28" s="72" t="s">
        <v>109</v>
      </c>
      <c r="D28" s="52">
        <f>20*36</f>
        <v>720</v>
      </c>
      <c r="E28" s="53">
        <v>43461</v>
      </c>
      <c r="F28" s="54" t="s">
        <v>111</v>
      </c>
    </row>
    <row r="29" spans="2:6" ht="24" x14ac:dyDescent="0.2">
      <c r="B29" s="105"/>
      <c r="C29" s="73" t="s">
        <v>110</v>
      </c>
      <c r="D29" s="56">
        <f>20*36</f>
        <v>720</v>
      </c>
      <c r="E29" s="57">
        <v>43461</v>
      </c>
      <c r="F29" s="58" t="s">
        <v>112</v>
      </c>
    </row>
    <row r="30" spans="2:6" ht="16.5" customHeight="1" x14ac:dyDescent="0.2">
      <c r="B30" s="105"/>
      <c r="C30" s="73" t="s">
        <v>114</v>
      </c>
      <c r="D30" s="56">
        <f>12*29</f>
        <v>348</v>
      </c>
      <c r="E30" s="57">
        <v>43418</v>
      </c>
      <c r="F30" s="58" t="s">
        <v>116</v>
      </c>
    </row>
    <row r="31" spans="2:6" ht="24" x14ac:dyDescent="0.2">
      <c r="B31" s="105"/>
      <c r="C31" s="73" t="s">
        <v>115</v>
      </c>
      <c r="D31" s="56">
        <f>24*29</f>
        <v>696</v>
      </c>
      <c r="E31" s="57">
        <v>43454</v>
      </c>
      <c r="F31" s="58" t="s">
        <v>117</v>
      </c>
    </row>
    <row r="32" spans="2:6" ht="24" x14ac:dyDescent="0.2">
      <c r="B32" s="105"/>
      <c r="C32" s="73" t="s">
        <v>4</v>
      </c>
      <c r="D32" s="56">
        <f>80*36+80*25</f>
        <v>4880</v>
      </c>
      <c r="E32" s="57">
        <v>43107</v>
      </c>
      <c r="F32" s="58" t="s">
        <v>118</v>
      </c>
    </row>
    <row r="33" spans="2:6" ht="16.5" customHeight="1" thickBot="1" x14ac:dyDescent="0.25">
      <c r="B33" s="106"/>
      <c r="C33" s="59" t="s">
        <v>8</v>
      </c>
      <c r="D33" s="65">
        <f>SUM(D28:D31)</f>
        <v>2484</v>
      </c>
      <c r="E33" s="60"/>
      <c r="F33" s="61"/>
    </row>
    <row r="34" spans="2:6" ht="33" customHeight="1" thickBot="1" x14ac:dyDescent="0.25">
      <c r="C34" s="8"/>
      <c r="D34" s="8"/>
      <c r="E34" s="9"/>
      <c r="F34" s="7"/>
    </row>
    <row r="35" spans="2:6" ht="21.75" customHeight="1" thickBot="1" x14ac:dyDescent="0.25">
      <c r="B35" s="22" t="s">
        <v>9</v>
      </c>
      <c r="C35" s="62"/>
      <c r="D35" s="12">
        <f>SUM(D11, D19, D26, D33)</f>
        <v>100360</v>
      </c>
      <c r="E35" s="63"/>
      <c r="F35" s="64"/>
    </row>
  </sheetData>
  <mergeCells count="4">
    <mergeCell ref="B4:B11"/>
    <mergeCell ref="B13:B19"/>
    <mergeCell ref="B21:B26"/>
    <mergeCell ref="B28:B33"/>
  </mergeCells>
  <printOptions horizontalCentered="1"/>
  <pageMargins left="0.7" right="0.7" top="0.75" bottom="0.75" header="0.3" footer="0.3"/>
  <pageSetup scale="78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autoPageBreaks="0" fitToPage="1"/>
  </sheetPr>
  <dimension ref="A1:Q45"/>
  <sheetViews>
    <sheetView showGridLines="0" topLeftCell="A4" zoomScale="70" zoomScaleNormal="70" workbookViewId="0">
      <selection activeCell="AD21" sqref="AD21"/>
    </sheetView>
  </sheetViews>
  <sheetFormatPr defaultColWidth="9.140625" defaultRowHeight="12" x14ac:dyDescent="0.2"/>
  <cols>
    <col min="1" max="1" width="2.7109375" style="27" customWidth="1"/>
    <col min="2" max="16" width="9.140625" style="27"/>
    <col min="17" max="17" width="2.7109375" style="27" customWidth="1"/>
    <col min="18" max="16384" width="9.140625" style="27"/>
  </cols>
  <sheetData>
    <row r="1" spans="1:17" customFormat="1" ht="6.75" customHeight="1" x14ac:dyDescent="0.2">
      <c r="B1" s="13"/>
      <c r="C1" s="13"/>
      <c r="D1" s="13"/>
      <c r="E1" s="13"/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42" customHeight="1" x14ac:dyDescent="0.2">
      <c r="A2" s="66" t="s">
        <v>11</v>
      </c>
      <c r="B2" s="2"/>
      <c r="C2" s="28"/>
      <c r="D2" s="28"/>
      <c r="E2" s="28"/>
      <c r="F2" s="28"/>
      <c r="G2" s="28"/>
      <c r="H2" s="28"/>
      <c r="I2" s="28"/>
      <c r="J2" s="28"/>
    </row>
    <row r="5" spans="1:17" ht="15" customHeight="1" x14ac:dyDescent="0.2">
      <c r="B5" s="29" t="s">
        <v>81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26" spans="2:16" ht="15" customHeight="1" x14ac:dyDescent="0.2">
      <c r="B26" s="29" t="s">
        <v>34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45" spans="17:17" x14ac:dyDescent="0.2">
      <c r="Q45" s="27" t="s">
        <v>40</v>
      </c>
    </row>
  </sheetData>
  <phoneticPr fontId="0" type="noConversion"/>
  <printOptions horizontalCentered="1" verticalCentered="1"/>
  <pageMargins left="0.4" right="0.4" top="0.4" bottom="0.4" header="0.5" footer="0.5"/>
  <pageSetup orientation="landscape" r:id="rId1"/>
  <headerFooter alignWithMargins="0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autoPageBreaks="0" fitToPage="1"/>
  </sheetPr>
  <dimension ref="A1:G13"/>
  <sheetViews>
    <sheetView showGridLines="0" tabSelected="1" topLeftCell="A2" workbookViewId="0">
      <selection activeCell="D15" sqref="D15"/>
    </sheetView>
  </sheetViews>
  <sheetFormatPr defaultRowHeight="16.5" customHeight="1" x14ac:dyDescent="0.2"/>
  <cols>
    <col min="1" max="1" width="2.7109375" customWidth="1"/>
    <col min="2" max="2" width="11.7109375" customWidth="1"/>
    <col min="3" max="4" width="30.7109375" customWidth="1"/>
    <col min="5" max="5" width="30.7109375" style="24" customWidth="1"/>
    <col min="6" max="6" width="30.7109375" customWidth="1"/>
    <col min="7" max="7" width="2.7109375" customWidth="1"/>
  </cols>
  <sheetData>
    <row r="1" spans="1:7" ht="6.75" customHeight="1" x14ac:dyDescent="0.2">
      <c r="B1" s="13"/>
      <c r="C1" s="13"/>
      <c r="D1" s="13"/>
      <c r="E1" s="25"/>
      <c r="F1" s="13"/>
      <c r="G1" t="s">
        <v>40</v>
      </c>
    </row>
    <row r="2" spans="1:7" ht="42" customHeight="1" x14ac:dyDescent="0.5">
      <c r="A2" s="15" t="s">
        <v>35</v>
      </c>
      <c r="C2" s="1"/>
      <c r="D2" s="1"/>
      <c r="E2" s="26"/>
      <c r="F2" s="1"/>
    </row>
    <row r="4" spans="1:7" ht="16.5" customHeight="1" x14ac:dyDescent="0.2">
      <c r="B4" s="67" t="s">
        <v>80</v>
      </c>
      <c r="C4" s="67" t="s">
        <v>83</v>
      </c>
      <c r="D4" s="67" t="s">
        <v>82</v>
      </c>
      <c r="E4" s="67" t="s">
        <v>32</v>
      </c>
      <c r="F4" s="67" t="s">
        <v>33</v>
      </c>
    </row>
    <row r="5" spans="1:7" ht="16.5" customHeight="1" x14ac:dyDescent="0.2">
      <c r="B5" s="30">
        <v>1</v>
      </c>
      <c r="C5" s="31">
        <f>(250000 + 10525)+36*25+30*36</f>
        <v>262505</v>
      </c>
      <c r="D5" s="31">
        <f>(250000 + 10525)+(50 * 40 + 10 * 30)+(36 * 25)+(40 * 36)</f>
        <v>265165</v>
      </c>
      <c r="E5" s="31">
        <f>C5</f>
        <v>262505</v>
      </c>
      <c r="F5" s="31">
        <f>D5</f>
        <v>265165</v>
      </c>
    </row>
    <row r="6" spans="1:7" ht="16.5" customHeight="1" x14ac:dyDescent="0.2">
      <c r="B6" s="30">
        <v>2</v>
      </c>
      <c r="C6" s="31">
        <f>(4*25)+(10*37)+(30*36)</f>
        <v>1550</v>
      </c>
      <c r="D6" s="31">
        <f>(36 * 40 + 8 * 30)+(8 * 25)+ (15 * 37)+ (40 * 36)</f>
        <v>3875</v>
      </c>
      <c r="E6" s="31">
        <f>C5+C6</f>
        <v>264055</v>
      </c>
      <c r="F6" s="31">
        <f>D6+D5</f>
        <v>269040</v>
      </c>
    </row>
    <row r="7" spans="1:7" ht="16.5" customHeight="1" x14ac:dyDescent="0.2">
      <c r="B7" s="30">
        <v>3</v>
      </c>
      <c r="C7" s="31">
        <f>(25*37)+(20*36)</f>
        <v>1645</v>
      </c>
      <c r="D7" s="31">
        <f>(36 * 40 + 8 * 30)+ (25 * 37)+ (36 * 36)</f>
        <v>3901</v>
      </c>
      <c r="E7" s="31">
        <f>C5+C6+C7</f>
        <v>265700</v>
      </c>
      <c r="F7" s="31">
        <f>D5+D6+D7</f>
        <v>272941</v>
      </c>
    </row>
    <row r="8" spans="1:7" ht="16.5" customHeight="1" x14ac:dyDescent="0.2">
      <c r="B8" s="30">
        <v>4</v>
      </c>
      <c r="C8" s="31">
        <f>(8200 + 5000 + 4010)+(5 * 37)+(12*36)</f>
        <v>17827</v>
      </c>
      <c r="D8" s="31">
        <f>(8200 + 5000 + 4010)+ (20*25+20*36+20*37)+ (36 * 40 + 8 * 30)+ (5 * 37)+ (12 * 36)</f>
        <v>21467</v>
      </c>
      <c r="E8" s="31">
        <f>C5+C6+C7+C8</f>
        <v>283527</v>
      </c>
      <c r="F8" s="31">
        <f>D5+D6+D7+D8</f>
        <v>294408</v>
      </c>
    </row>
    <row r="9" spans="1:7" ht="16.5" customHeight="1" x14ac:dyDescent="0.2">
      <c r="B9" s="30">
        <v>5</v>
      </c>
      <c r="C9" s="31">
        <f>(1800+51047)+(22*36)</f>
        <v>53639</v>
      </c>
      <c r="D9" s="31">
        <f>(1800+51047)+(36 * 40 + 8 * 30)+(16*36)</f>
        <v>55103</v>
      </c>
      <c r="E9" s="31">
        <f>C5+C6+C7+C8+C9</f>
        <v>337166</v>
      </c>
      <c r="F9" s="31">
        <f>D5+D6+D7+D7+D9</f>
        <v>331945</v>
      </c>
    </row>
    <row r="10" spans="1:7" ht="16.5" customHeight="1" x14ac:dyDescent="0.2">
      <c r="B10" s="30">
        <v>6</v>
      </c>
      <c r="C10" s="31">
        <f>20*36</f>
        <v>720</v>
      </c>
      <c r="D10" s="31">
        <f>(36 * 40 + 8 * 30)+  (20 *36)</f>
        <v>2400</v>
      </c>
      <c r="E10" s="31">
        <f>C5+C6+C7+C8+C9+C10</f>
        <v>337886</v>
      </c>
      <c r="F10" s="31">
        <f>D5+D6+D7+D8+D9+D10</f>
        <v>351911</v>
      </c>
    </row>
    <row r="11" spans="1:7" ht="16.5" customHeight="1" x14ac:dyDescent="0.2">
      <c r="B11" s="30">
        <v>7</v>
      </c>
      <c r="C11" s="31">
        <f>(40*36)+(40*29)</f>
        <v>2600</v>
      </c>
      <c r="D11" s="31">
        <f>(36 * 40 + 8 * 30)+ (40 *36 + 40* 29)</f>
        <v>4280</v>
      </c>
      <c r="E11" s="31">
        <f>C5+C6+C7+C8+C9+C10+C11</f>
        <v>340486</v>
      </c>
      <c r="F11" s="31">
        <f>D5+D6+D7+D8+D9+D10+D11</f>
        <v>356191</v>
      </c>
    </row>
    <row r="12" spans="1:7" ht="16.5" customHeight="1" x14ac:dyDescent="0.2">
      <c r="B12" s="30">
        <v>8</v>
      </c>
      <c r="C12" s="31">
        <f>(40 *36 + 40* 29)</f>
        <v>2600</v>
      </c>
      <c r="D12" s="79">
        <f>(36 * (40+12) + 8 * 30) + (40 *36 + 40* 29)</f>
        <v>4712</v>
      </c>
      <c r="E12" s="31">
        <f>C5+C6+C7+C8+C9+C10+C11+C12</f>
        <v>343086</v>
      </c>
      <c r="F12" s="79">
        <f>D5+D6+D7+D8+D9+D10+D11+D12</f>
        <v>360903</v>
      </c>
    </row>
    <row r="13" spans="1:7" ht="16.5" customHeight="1" x14ac:dyDescent="0.2">
      <c r="B13" s="30">
        <v>9</v>
      </c>
      <c r="C13" s="31">
        <f>(30 *29 + 30 * 25)</f>
        <v>1620</v>
      </c>
      <c r="D13" s="31">
        <f>(36 * 40 + 8 * 30)+ (30 *29 + 30 * 25)</f>
        <v>3300</v>
      </c>
      <c r="E13" s="31">
        <f>C5+C6+C7+C8+C9+C10+C11+C12+C13</f>
        <v>344706</v>
      </c>
      <c r="F13" s="31">
        <f>D5+D6+D7+D8+D9+D10+D11+D12+D13</f>
        <v>364203</v>
      </c>
    </row>
  </sheetData>
  <phoneticPr fontId="0" type="noConversion"/>
  <printOptions horizontalCentered="1"/>
  <pageMargins left="0.5" right="0.5" top="1" bottom="1" header="0.5" footer="0.5"/>
  <pageSetup scale="76" fitToHeight="0" orientation="portrait" r:id="rId1"/>
  <headerFooter differentFirst="1">
    <oddFooter>Page &amp;P of &amp;N</oddFooter>
  </headerFooter>
  <ignoredErrors>
    <ignoredError sqref="D6:D9 E6:E13 F6:F11 D13 D10:D12 F12:F13" calculatedColumn="1"/>
  </ignoredErrors>
  <picture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5FA54C6C-6382-45C3-B9E2-1E0C29AD2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Source of Project Cost</vt:lpstr>
      <vt:lpstr>Expenditures Over Time</vt:lpstr>
      <vt:lpstr>Cumulative Project Costs</vt:lpstr>
      <vt:lpstr>Data Worksheet</vt:lpstr>
      <vt:lpstr>ConstructionTotal</vt:lpstr>
      <vt:lpstr>InstallTotal</vt:lpstr>
      <vt:lpstr>PlanningTotal</vt:lpstr>
      <vt:lpstr>'Data Worksheet'!Print_Titles</vt:lpstr>
      <vt:lpstr>TestTotal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Stephen Savage</dc:creator>
  <cp:keywords/>
  <cp:lastModifiedBy>Felicia Ainslie</cp:lastModifiedBy>
  <dcterms:created xsi:type="dcterms:W3CDTF">2018-12-12T03:05:50Z</dcterms:created>
  <dcterms:modified xsi:type="dcterms:W3CDTF">2021-07-31T05:06:33Z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TC040223879991</vt:lpwstr>
  </property>
</Properties>
</file>